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W057\scrap_optimisation_front_end\backend\src\modules\kalman script\Input_files\Cap_XLSX\"/>
    </mc:Choice>
  </mc:AlternateContent>
  <xr:revisionPtr revIDLastSave="0" documentId="13_ncr:1_{998B46DE-EA35-48E5-9755-22E9C310CAD8}" xr6:coauthVersionLast="47" xr6:coauthVersionMax="47" xr10:uidLastSave="{00000000-0000-0000-0000-000000000000}"/>
  <bookViews>
    <workbookView xWindow="28680" yWindow="-120" windowWidth="29040" windowHeight="15720" xr2:uid="{BD563B61-7637-4189-9A01-919E67279095}"/>
  </bookViews>
  <sheets>
    <sheet name="HeatQuery_All_03312026063851" sheetId="1" r:id="rId1"/>
    <sheet name="Sheet1" sheetId="2" r:id="rId2"/>
  </sheets>
  <definedNames>
    <definedName name="_xlnm._FilterDatabase" localSheetId="0" hidden="1">HeatQuery_All_03312026063851!$A$1:$UR$51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8" i="2" l="1"/>
  <c r="E17" i="2"/>
  <c r="E19" i="2"/>
  <c r="E21" i="2"/>
  <c r="E22" i="2"/>
  <c r="E23" i="2"/>
  <c r="E24" i="2"/>
  <c r="E20" i="2"/>
  <c r="E26" i="2"/>
  <c r="E27" i="2"/>
  <c r="E28" i="2"/>
  <c r="E29" i="2"/>
  <c r="E30" i="2"/>
  <c r="E31" i="2"/>
  <c r="E32" i="2"/>
  <c r="E4" i="2"/>
  <c r="E5" i="2"/>
  <c r="E6" i="2"/>
  <c r="E7" i="2"/>
  <c r="E8" i="2"/>
  <c r="E9" i="2"/>
  <c r="E10" i="2"/>
  <c r="E33" i="2"/>
  <c r="E41" i="2"/>
  <c r="E25" i="2"/>
  <c r="E11" i="2"/>
  <c r="E42" i="2"/>
  <c r="E43" i="2"/>
  <c r="E44" i="2"/>
  <c r="E45" i="2"/>
  <c r="E46" i="2"/>
  <c r="E47" i="2"/>
  <c r="E48" i="2"/>
  <c r="E34" i="2"/>
  <c r="E35" i="2"/>
  <c r="E36" i="2"/>
  <c r="E37" i="2"/>
  <c r="E38" i="2"/>
  <c r="E39" i="2"/>
  <c r="E40" i="2"/>
  <c r="E2" i="2"/>
  <c r="E3" i="2"/>
  <c r="E49" i="2"/>
  <c r="E50" i="2"/>
  <c r="E51" i="2"/>
  <c r="E12" i="2"/>
  <c r="E13" i="2"/>
  <c r="E14" i="2"/>
  <c r="E15" i="2"/>
  <c r="E16" i="2"/>
  <c r="F4" i="2"/>
  <c r="F5" i="2" s="1"/>
  <c r="F6" i="2" s="1"/>
  <c r="F7" i="2" s="1"/>
  <c r="F8" i="2" s="1"/>
  <c r="F9" i="2" s="1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F34" i="2" s="1"/>
  <c r="F35" i="2" s="1"/>
  <c r="F36" i="2" s="1"/>
  <c r="F37" i="2" s="1"/>
  <c r="F38" i="2" s="1"/>
  <c r="F39" i="2" s="1"/>
  <c r="F40" i="2" s="1"/>
  <c r="F41" i="2" s="1"/>
  <c r="F42" i="2" s="1"/>
  <c r="F43" i="2" s="1"/>
  <c r="F44" i="2" s="1"/>
  <c r="F45" i="2" s="1"/>
  <c r="F46" i="2" s="1"/>
  <c r="F47" i="2" s="1"/>
  <c r="F48" i="2" s="1"/>
  <c r="F49" i="2" s="1"/>
  <c r="F50" i="2" s="1"/>
  <c r="F51" i="2" s="1"/>
  <c r="F3" i="2"/>
</calcChain>
</file>

<file path=xl/sharedStrings.xml><?xml version="1.0" encoding="utf-8"?>
<sst xmlns="http://schemas.openxmlformats.org/spreadsheetml/2006/main" count="2001" uniqueCount="849">
  <si>
    <t>HeatID</t>
  </si>
  <si>
    <t>HeatNumber</t>
  </si>
  <si>
    <t>HeatStatusID</t>
  </si>
  <si>
    <t>StageGroup</t>
  </si>
  <si>
    <t>StageSeq</t>
  </si>
  <si>
    <t>WONbr</t>
  </si>
  <si>
    <t>EAFPartNbr</t>
  </si>
  <si>
    <t>PlanWeight</t>
  </si>
  <si>
    <t>PlanProdDate</t>
  </si>
  <si>
    <t>PlanSlabWidth1</t>
  </si>
  <si>
    <t>PlanSlabLength1</t>
  </si>
  <si>
    <t>PlanSlabNotes1</t>
  </si>
  <si>
    <t>PlanSlabWidth2</t>
  </si>
  <si>
    <t>PlanSlabLength2</t>
  </si>
  <si>
    <t>PlanSlabNotes2</t>
  </si>
  <si>
    <t>ScheduleSeq</t>
  </si>
  <si>
    <t>MelterID</t>
  </si>
  <si>
    <t>SupervisorID</t>
  </si>
  <si>
    <t>EAFStartTime</t>
  </si>
  <si>
    <t>EAFPowerOnTime</t>
  </si>
  <si>
    <t>EAFTotalPowerOnTime</t>
  </si>
  <si>
    <t>EAFPowerOffTime</t>
  </si>
  <si>
    <t>EAFTotalPowerOffTime</t>
  </si>
  <si>
    <t>TapWeightActual</t>
  </si>
  <si>
    <t>TapTime</t>
  </si>
  <si>
    <t>TapLadleID</t>
  </si>
  <si>
    <t>LadlemanID</t>
  </si>
  <si>
    <t>EAFTotalKWH</t>
  </si>
  <si>
    <t>EAFShellLife</t>
  </si>
  <si>
    <t>EAFBottomLife</t>
  </si>
  <si>
    <t>EAFHeelWeight</t>
  </si>
  <si>
    <t>EAFCelox1_C</t>
  </si>
  <si>
    <t>EAFCelox1_O2</t>
  </si>
  <si>
    <t>EAFCelox1_Temp</t>
  </si>
  <si>
    <t>EAFCelox2_C</t>
  </si>
  <si>
    <t>EAFCelox2_O2</t>
  </si>
  <si>
    <t>EAFCelox2_Temp</t>
  </si>
  <si>
    <t>EAFDelayMinutes</t>
  </si>
  <si>
    <t>EAFDelayDescription</t>
  </si>
  <si>
    <t>EAFComments</t>
  </si>
  <si>
    <t>UpdateTimeEAF</t>
  </si>
  <si>
    <t>LMFUnit</t>
  </si>
  <si>
    <t>LMFOperatorID</t>
  </si>
  <si>
    <t>LMFSupervisorID</t>
  </si>
  <si>
    <t>LMFStartTime</t>
  </si>
  <si>
    <t>LMFEndTime</t>
  </si>
  <si>
    <t>LMFTotalPowerOnTime</t>
  </si>
  <si>
    <t>LMFTotalProcessingTime</t>
  </si>
  <si>
    <t>LMFSlagDepth</t>
  </si>
  <si>
    <t>LMFSlagDepthFinal</t>
  </si>
  <si>
    <t>LMFEndWeight</t>
  </si>
  <si>
    <t>LMFStartWeight</t>
  </si>
  <si>
    <t>LMFTotalKWH</t>
  </si>
  <si>
    <t>LMFStartTemp</t>
  </si>
  <si>
    <t>LMFLastTemp</t>
  </si>
  <si>
    <t>LMFDelayMinutes</t>
  </si>
  <si>
    <t>LMFDelayDescription</t>
  </si>
  <si>
    <t>LMFComments</t>
  </si>
  <si>
    <t>UpdateTimeLMF</t>
  </si>
  <si>
    <t>TurretArrivedTime</t>
  </si>
  <si>
    <t>CasterStartTime</t>
  </si>
  <si>
    <t>CasterEndTime</t>
  </si>
  <si>
    <t>LadleLoss</t>
  </si>
  <si>
    <t>TundishLoss</t>
  </si>
  <si>
    <t>CastSeq</t>
  </si>
  <si>
    <t>CasterSupervisorID</t>
  </si>
  <si>
    <t>CasterOperatorID</t>
  </si>
  <si>
    <t>RunoutOperatorID</t>
  </si>
  <si>
    <t>CasterDelayMinutes</t>
  </si>
  <si>
    <t>CasterDelayDescription</t>
  </si>
  <si>
    <t>CasterComments</t>
  </si>
  <si>
    <t>LadleOpenTime</t>
  </si>
  <si>
    <t>LadleCloseTime</t>
  </si>
  <si>
    <t>LadleFreeOpen</t>
  </si>
  <si>
    <t>CasterSprayPlan</t>
  </si>
  <si>
    <t>TundishNbr</t>
  </si>
  <si>
    <t>CasterShroudFix</t>
  </si>
  <si>
    <t>CasterLancePipe</t>
  </si>
  <si>
    <t>ShroudLife</t>
  </si>
  <si>
    <t>SENLife</t>
  </si>
  <si>
    <t>CastSpeedStrand1</t>
  </si>
  <si>
    <t>CastSpeedStrand2</t>
  </si>
  <si>
    <t>SENHeatingStartTimeStrand1</t>
  </si>
  <si>
    <t>SENHeatingStartTimeStrand2</t>
  </si>
  <si>
    <t>TundishNozzleCloggingStrand1</t>
  </si>
  <si>
    <t>TundishNozzleCloggingStrand2</t>
  </si>
  <si>
    <t>BOStrand1</t>
  </si>
  <si>
    <t>BOStrand2</t>
  </si>
  <si>
    <t>SlideGateFailureStrand1</t>
  </si>
  <si>
    <t>SlideGateFailureStrand2</t>
  </si>
  <si>
    <t>LadleNozzleClogging</t>
  </si>
  <si>
    <t>ShroudBackFire</t>
  </si>
  <si>
    <t>MoldStrand1</t>
  </si>
  <si>
    <t>MoldStrand2</t>
  </si>
  <si>
    <t>QCStrand1</t>
  </si>
  <si>
    <t>QCStrand2</t>
  </si>
  <si>
    <t>TundishTemp1</t>
  </si>
  <si>
    <t>TundishTemp2</t>
  </si>
  <si>
    <t>TundishTemp3</t>
  </si>
  <si>
    <t>ddtNorthBroadStrand1</t>
  </si>
  <si>
    <t>ddtSouthBroadStrand1</t>
  </si>
  <si>
    <t>ddtEastNarrowStrand1</t>
  </si>
  <si>
    <t>ddtWestNarrowStrand1</t>
  </si>
  <si>
    <t>ddtNorthBroadStrand2</t>
  </si>
  <si>
    <t>ddtSouthBroadStrand2</t>
  </si>
  <si>
    <t>ddtEastNarrowStrand2</t>
  </si>
  <si>
    <t>ddtWestNarrowStrand2</t>
  </si>
  <si>
    <t>ddmNorthBroadStrand1_1</t>
  </si>
  <si>
    <t>ddmSouthBroadStrand1_1</t>
  </si>
  <si>
    <t>ddmEastNarrowStrand1_1</t>
  </si>
  <si>
    <t>ddmWestNarrowStrand1_1</t>
  </si>
  <si>
    <t>ddmNorthBroadStrand2_1</t>
  </si>
  <si>
    <t>ddmSouthBroadStrand2_1</t>
  </si>
  <si>
    <t>ddmEastNarrowStrand2_1</t>
  </si>
  <si>
    <t>ddmWestNarrowStrand2_1</t>
  </si>
  <si>
    <t>ddmNorthBroadStrand1_2</t>
  </si>
  <si>
    <t>ddmSouthBroadStrand1_2</t>
  </si>
  <si>
    <t>ddmEastNarrowStrand1_2</t>
  </si>
  <si>
    <t>ddmWestNarrowStrand1_2</t>
  </si>
  <si>
    <t>ddmNorthBroadStrand2_2</t>
  </si>
  <si>
    <t>ddmSouthBroadStrand2_2</t>
  </si>
  <si>
    <t>ddmEastNarrowStrand2_2</t>
  </si>
  <si>
    <t>ddmWestNarrowStrand2_2</t>
  </si>
  <si>
    <t>ddmNorthBroadStrand1_3</t>
  </si>
  <si>
    <t>ddmSouthBroadStrand1_3</t>
  </si>
  <si>
    <t>ddmEastNarrowStrand1_3</t>
  </si>
  <si>
    <t>ddmWestNarrowStrand1_3</t>
  </si>
  <si>
    <t>ddmNorthBroadStrand2_3</t>
  </si>
  <si>
    <t>ddmSouthBroadStrand2_3</t>
  </si>
  <si>
    <t>ddmEastNarrowStrand2_3</t>
  </si>
  <si>
    <t>ddmWestNarrowStrand2_3</t>
  </si>
  <si>
    <t>UpdateTimeCaster</t>
  </si>
  <si>
    <t>LengthHeadCropStrand1</t>
  </si>
  <si>
    <t>LengthHeadCropStrand2</t>
  </si>
  <si>
    <t>LengthTailCropStrand1</t>
  </si>
  <si>
    <t>LengthTailCropStrand2</t>
  </si>
  <si>
    <t>CompletedTime</t>
  </si>
  <si>
    <t>ApproverID</t>
  </si>
  <si>
    <t>ApprovedTime</t>
  </si>
  <si>
    <t>PostProdTime</t>
  </si>
  <si>
    <t>EAFCelox3_C</t>
  </si>
  <si>
    <t>EAFCelox3_O2</t>
  </si>
  <si>
    <t>EAFCelox3_Temp</t>
  </si>
  <si>
    <t>EAFCelox4_C</t>
  </si>
  <si>
    <t>EAFCelox4_O2</t>
  </si>
  <si>
    <t>EAFCelox4_Temp</t>
  </si>
  <si>
    <t>LMFCelox1_C</t>
  </si>
  <si>
    <t>LMFCelox1_O2</t>
  </si>
  <si>
    <t>LMFCelox1_Temp</t>
  </si>
  <si>
    <t>LMFCelox2_C</t>
  </si>
  <si>
    <t>LMFCelox2_O2</t>
  </si>
  <si>
    <t>LMFCelox2_Temp</t>
  </si>
  <si>
    <t>LMFCelox3_C</t>
  </si>
  <si>
    <t>LMFCelox3_O2</t>
  </si>
  <si>
    <t>LMFCelox3_Temp</t>
  </si>
  <si>
    <t>LMFCelox4_C</t>
  </si>
  <si>
    <t>LMFCelox4_O2</t>
  </si>
  <si>
    <t>LMFCelox4_Temp</t>
  </si>
  <si>
    <t>CasterHydras1_H</t>
  </si>
  <si>
    <t>CasterHydras2_H</t>
  </si>
  <si>
    <t>CasterHydras3_H</t>
  </si>
  <si>
    <t>MacroEdgeRequiredStrand1</t>
  </si>
  <si>
    <t>MacroEdgeRequiredStrand2</t>
  </si>
  <si>
    <t>MacroEdgeRequiredFmtStrand1</t>
  </si>
  <si>
    <t>MacroEdgeRequiredFmtStrand2</t>
  </si>
  <si>
    <t>MELTL2X_Alerts</t>
  </si>
  <si>
    <t>UpdaterID</t>
  </si>
  <si>
    <t>UpdateTime</t>
  </si>
  <si>
    <t>PlanGradeID</t>
  </si>
  <si>
    <t>PlanGradeName</t>
  </si>
  <si>
    <t>GradeName</t>
  </si>
  <si>
    <t>GradeID</t>
  </si>
  <si>
    <t>ProdGradeName</t>
  </si>
  <si>
    <t>ProdGradeRevName</t>
  </si>
  <si>
    <t>ProdGradeRevFullName</t>
  </si>
  <si>
    <t>TapLadle</t>
  </si>
  <si>
    <t>CastLadle</t>
  </si>
  <si>
    <t>HeatStatusName</t>
  </si>
  <si>
    <t>InProcess</t>
  </si>
  <si>
    <t>Melter</t>
  </si>
  <si>
    <t>Supervisor</t>
  </si>
  <si>
    <t>LMFOperator</t>
  </si>
  <si>
    <t>HeatAndStatusName</t>
  </si>
  <si>
    <t>HeatName</t>
  </si>
  <si>
    <t>HeatProdTime</t>
  </si>
  <si>
    <t>PlanSlabDimensions1</t>
  </si>
  <si>
    <t>PlanSlabDimensions2</t>
  </si>
  <si>
    <t>EAFProcessMinutes</t>
  </si>
  <si>
    <t>LMFProcessMinutes</t>
  </si>
  <si>
    <t>CasterProcessMinutes</t>
  </si>
  <si>
    <t>LMFName</t>
  </si>
  <si>
    <t>TapTons</t>
  </si>
  <si>
    <t>PlanSlabItemID1</t>
  </si>
  <si>
    <t>PlanSlabItemID2</t>
  </si>
  <si>
    <t>PlanSlabItemNbr1</t>
  </si>
  <si>
    <t>PlanSlabItemNbr2</t>
  </si>
  <si>
    <t>SlabItemID1</t>
  </si>
  <si>
    <t>SlabItemID2</t>
  </si>
  <si>
    <t>SlabItemNbr1</t>
  </si>
  <si>
    <t>SlabItemNbr2</t>
  </si>
  <si>
    <t>MoldTopWidth1</t>
  </si>
  <si>
    <t>MoldTopWidth2</t>
  </si>
  <si>
    <t>MoldBeginTaperEast1</t>
  </si>
  <si>
    <t>MoldBeginTaperEast2</t>
  </si>
  <si>
    <t>MoldBeginTaperWest1</t>
  </si>
  <si>
    <t>MoldBeginTaperWest2</t>
  </si>
  <si>
    <t>MoldEndCapTaperEast1</t>
  </si>
  <si>
    <t>MoldEndCapTaperEast2</t>
  </si>
  <si>
    <t>MoldEndCapTaperWest1</t>
  </si>
  <si>
    <t>MoldEndCapTaperWest2</t>
  </si>
  <si>
    <t>MoldDBHeadSize1</t>
  </si>
  <si>
    <t>MoldDBHeadSize2</t>
  </si>
  <si>
    <t>MoldColdWidth1</t>
  </si>
  <si>
    <t>MoldColdWidth2</t>
  </si>
  <si>
    <t>SupportRoll1</t>
  </si>
  <si>
    <t>SupportRoll2</t>
  </si>
  <si>
    <t>ProdDate</t>
  </si>
  <si>
    <t>CasterSprayPlan2</t>
  </si>
  <si>
    <t>Crew</t>
  </si>
  <si>
    <t>CastLadleID</t>
  </si>
  <si>
    <t>HeatsOnTundish</t>
  </si>
  <si>
    <t>TundishCarNbr</t>
  </si>
  <si>
    <t>LMFHydras1</t>
  </si>
  <si>
    <t>LMFHydras2</t>
  </si>
  <si>
    <t>LMFHydras3</t>
  </si>
  <si>
    <t>ProdTrial</t>
  </si>
  <si>
    <t>EAFProdTrialNotes</t>
  </si>
  <si>
    <t>LMFProdTrialNotes</t>
  </si>
  <si>
    <t>CasterProdTrialNotes</t>
  </si>
  <si>
    <t>LadleShroudGaskets</t>
  </si>
  <si>
    <t>Withdrawal</t>
  </si>
  <si>
    <t>WithdrawalTime</t>
  </si>
  <si>
    <t>WithdrawalCapoffUnScheduled</t>
  </si>
  <si>
    <t>WithdrawalDeptRelated</t>
  </si>
  <si>
    <t>WithdrawalReason</t>
  </si>
  <si>
    <t>CasterLMFOrderTemp</t>
  </si>
  <si>
    <t>UnexpectedScrapWeight</t>
  </si>
  <si>
    <t>BO_Alarm_InfoStrand1</t>
  </si>
  <si>
    <t>BO_Alarm_InfoStrand2</t>
  </si>
  <si>
    <t>BO_Alarm_TotalYellowStrand1</t>
  </si>
  <si>
    <t>BO_Alarm_TotalYellowStrand2</t>
  </si>
  <si>
    <t>BO_Alarm_TotalRedStrand1</t>
  </si>
  <si>
    <t>BO_Alarm_TotalRedStrand2</t>
  </si>
  <si>
    <t>Liquidus</t>
  </si>
  <si>
    <t>TundishTempSuperheat1</t>
  </si>
  <si>
    <t>TundishTempSuperheat2</t>
  </si>
  <si>
    <t>TundishTempSuperheat3</t>
  </si>
  <si>
    <t>GradeProdInstructions</t>
  </si>
  <si>
    <t>EAF_Instructions</t>
  </si>
  <si>
    <t>LMF_Instructions</t>
  </si>
  <si>
    <t>ProdGradeSteelmakingPractice</t>
  </si>
  <si>
    <t>TapLadleEquipmentID</t>
  </si>
  <si>
    <t>CastLadleEquipmentID</t>
  </si>
  <si>
    <t>SalesOrderNbr</t>
  </si>
  <si>
    <t>UpdateTimeRunout</t>
  </si>
  <si>
    <t>HCY_HeatID</t>
  </si>
  <si>
    <t>FirstSequenceHeatID</t>
  </si>
  <si>
    <t>LastSequenceHeatID</t>
  </si>
  <si>
    <t>TotalPrimeSlabTons</t>
  </si>
  <si>
    <t>TotalCropTons</t>
  </si>
  <si>
    <t>LossTons</t>
  </si>
  <si>
    <t>AddToTundish</t>
  </si>
  <si>
    <t>TotalCutAndScaleTons</t>
  </si>
  <si>
    <t>TotalCastTons</t>
  </si>
  <si>
    <t>TotalTappedTons</t>
  </si>
  <si>
    <t>CasterYield</t>
  </si>
  <si>
    <t>SlabCount1</t>
  </si>
  <si>
    <t>LengthHeadCropStrand11</t>
  </si>
  <si>
    <t>LengthTailCropStrand11</t>
  </si>
  <si>
    <t>SumSlabCalcWeight1</t>
  </si>
  <si>
    <t>SumSlabLength1</t>
  </si>
  <si>
    <t>ActualSlabAverageWidth1</t>
  </si>
  <si>
    <t>ActualSlabAverageThickness1</t>
  </si>
  <si>
    <t>HeadAndTailCropLength1</t>
  </si>
  <si>
    <t>PrimeSlabTons1</t>
  </si>
  <si>
    <t>CutAndScaleTons1</t>
  </si>
  <si>
    <t>CropTons1</t>
  </si>
  <si>
    <t>HeadCropWeight1</t>
  </si>
  <si>
    <t>TailCropWeight1</t>
  </si>
  <si>
    <t>SlabCount2</t>
  </si>
  <si>
    <t>LengthHeadCropStrand21</t>
  </si>
  <si>
    <t>LengthTailCropStrand21</t>
  </si>
  <si>
    <t>SumSlabCalcWeight2</t>
  </si>
  <si>
    <t>SumSlabLength2</t>
  </si>
  <si>
    <t>ActualSlabAverageWidth2</t>
  </si>
  <si>
    <t>ActualSlabAverageThickness2</t>
  </si>
  <si>
    <t>HeadAndTailCropLength2</t>
  </si>
  <si>
    <t>PrimeSlabTons2</t>
  </si>
  <si>
    <t>CutAndScaleTons2</t>
  </si>
  <si>
    <t>CropTons2</t>
  </si>
  <si>
    <t>HeadCropWeight2</t>
  </si>
  <si>
    <t>TailCropWeight2</t>
  </si>
  <si>
    <t>LadleLoss1</t>
  </si>
  <si>
    <t>TundishLoss1</t>
  </si>
  <si>
    <t>UnexpectedScrapWeight1</t>
  </si>
  <si>
    <t>GradeName1</t>
  </si>
  <si>
    <t>GradeDensity</t>
  </si>
  <si>
    <t>HeatID1</t>
  </si>
  <si>
    <t>CHG-Busheling</t>
  </si>
  <si>
    <t>CHG-Pig Iron</t>
  </si>
  <si>
    <t>CHG-Shred</t>
  </si>
  <si>
    <t>CHG-P &amp; S</t>
  </si>
  <si>
    <t>CHG-Scrap - #1 Bundle DL</t>
  </si>
  <si>
    <t>CHG-HBI</t>
  </si>
  <si>
    <t>CHG-Internal - Home Coils</t>
  </si>
  <si>
    <t>CHG-#1 Bundling</t>
  </si>
  <si>
    <t>CHG-#1 HeavyMetl</t>
  </si>
  <si>
    <t>CHG-Iron</t>
  </si>
  <si>
    <t>CHG-Beach Iron</t>
  </si>
  <si>
    <t>CHG-Pit</t>
  </si>
  <si>
    <t>CHG-Railroad Rail</t>
  </si>
  <si>
    <t>CHG-3' Rail Crops</t>
  </si>
  <si>
    <t>CHG-RR Track Material</t>
  </si>
  <si>
    <t>CHG-Railroad Wheels</t>
  </si>
  <si>
    <t>CHG-Tin Bushling</t>
  </si>
  <si>
    <t>CHG-Furnace Iron</t>
  </si>
  <si>
    <t>CHG-Flashing</t>
  </si>
  <si>
    <t>CHG-T Post Bush</t>
  </si>
  <si>
    <t>CHG-T-Bars</t>
  </si>
  <si>
    <t>CHG-Autocast Scrap</t>
  </si>
  <si>
    <t>CHG-Turnings</t>
  </si>
  <si>
    <t>CHG-OTMScrap</t>
  </si>
  <si>
    <t>CHG-#1 DT Bun</t>
  </si>
  <si>
    <t>CHG-Pit Scrap -Tundish</t>
  </si>
  <si>
    <t>CHG-Internal - Home Slabs</t>
  </si>
  <si>
    <t>CHG-Low Cu Scrap</t>
  </si>
  <si>
    <t>CHG-Cast Iron Rolls</t>
  </si>
  <si>
    <t>CHG-Chrome Rolls</t>
  </si>
  <si>
    <t>CHG-Scrap - Pipe Busheling</t>
  </si>
  <si>
    <t>CHG-Prime-3' Proc Ingot</t>
  </si>
  <si>
    <t>CHG-A Scrap</t>
  </si>
  <si>
    <t>CHG-Ftry DT Bun Scrap</t>
  </si>
  <si>
    <t>CHG-Tin Plate Scrap</t>
  </si>
  <si>
    <t>CHG-Scrap - Plate</t>
  </si>
  <si>
    <t>CHG-Scrap - Shred Busheling</t>
  </si>
  <si>
    <t>CHG-Scrap - Tin Bundles</t>
  </si>
  <si>
    <t>CHG-Scrap - Hammered</t>
  </si>
  <si>
    <t>CHG-Scrap - Party Mix</t>
  </si>
  <si>
    <t>CHG-Pig Iron - Fines</t>
  </si>
  <si>
    <t>CHG-Iron Briquettes</t>
  </si>
  <si>
    <t>CHG-Scrap - Pit External</t>
  </si>
  <si>
    <t>CHG-Pot Skulls</t>
  </si>
  <si>
    <t>CHG-Iron Block Scrap</t>
  </si>
  <si>
    <t>CHG-Auto Dies Scrap</t>
  </si>
  <si>
    <t>CHG-Iron Button Scrap</t>
  </si>
  <si>
    <t>CHG-Boiler Tube Scrap</t>
  </si>
  <si>
    <t>CHG-External Tundish Scrap</t>
  </si>
  <si>
    <t>CHG-Pot Lips Scrap</t>
  </si>
  <si>
    <t>CHG-Scrap - Mine Chain</t>
  </si>
  <si>
    <t>CHG-Scrap - Flame Cut Plate</t>
  </si>
  <si>
    <t>CHG-Scrap - Monopile Plate</t>
  </si>
  <si>
    <t>CHG-Scrap - Form Briqs</t>
  </si>
  <si>
    <t>CHG-Scrap - Prime Billets</t>
  </si>
  <si>
    <t>CHG-PLAN-Busheling</t>
  </si>
  <si>
    <t>CHG-PLAN-Pig Iron</t>
  </si>
  <si>
    <t>CHG-PLAN-Shred</t>
  </si>
  <si>
    <t>CHG-PLAN-P &amp; S</t>
  </si>
  <si>
    <t>CHG-PLAN-Scrap - #1 Bundle DL</t>
  </si>
  <si>
    <t>CHG-PLAN-HBI</t>
  </si>
  <si>
    <t>CHG-PLAN-Internal - Home Coils</t>
  </si>
  <si>
    <t>CHG-PLAN-#1 Bundling</t>
  </si>
  <si>
    <t>CHG-PLAN-#1 HeavyMetl</t>
  </si>
  <si>
    <t>CHG-PLAN-Iron</t>
  </si>
  <si>
    <t>CHG-PLAN-Beach Iron</t>
  </si>
  <si>
    <t>CHG-PLAN-Pit</t>
  </si>
  <si>
    <t>CHG-PLAN-Railroad Rail</t>
  </si>
  <si>
    <t>CHG-PLAN-3' Rail Crops</t>
  </si>
  <si>
    <t>CHG-PLAN-RR Track Material</t>
  </si>
  <si>
    <t>CHG-PLAN-Railroad Wheels</t>
  </si>
  <si>
    <t>CHG-PLAN-Tin Bushling</t>
  </si>
  <si>
    <t>CHG-PLAN-Furnace Iron</t>
  </si>
  <si>
    <t>CHG-PLAN-Flashing</t>
  </si>
  <si>
    <t>CHG-PLAN-T Post Bush</t>
  </si>
  <si>
    <t>CHG-PLAN-T-Bars</t>
  </si>
  <si>
    <t>CHG-PLAN-Autocast Scrap</t>
  </si>
  <si>
    <t>CHG-PLAN-Turnings</t>
  </si>
  <si>
    <t>CHG-PLAN-OTMScrap</t>
  </si>
  <si>
    <t>CHG-PLAN-#1 DT Bun</t>
  </si>
  <si>
    <t>CHG-PLAN-Pit Scrap -Tundish</t>
  </si>
  <si>
    <t>CHG-PLAN-Internal - Home Slabs</t>
  </si>
  <si>
    <t>CHG-PLAN-Low Cu Scrap</t>
  </si>
  <si>
    <t>CHG-PLAN-Cast Iron Rolls</t>
  </si>
  <si>
    <t>CHG-PLAN-Chrome Rolls</t>
  </si>
  <si>
    <t>CHG-PLAN-Scrap - Pipe Busheling</t>
  </si>
  <si>
    <t>CHG-PLAN-Prime-3' Proc Ingot</t>
  </si>
  <si>
    <t>CHG-PLAN-A Scrap</t>
  </si>
  <si>
    <t>CHG-PLAN-Ftry DT Bun Scrap</t>
  </si>
  <si>
    <t>CHG-PLAN-Tin Plate Scrap</t>
  </si>
  <si>
    <t>CHG-PLAN-Scrap - Plate</t>
  </si>
  <si>
    <t>CHG-PLAN-Scrap - Shred Busheling</t>
  </si>
  <si>
    <t>CHG-PLAN-Scrap - Tin Bundles</t>
  </si>
  <si>
    <t>CHG-PLAN-Scrap - Hammered</t>
  </si>
  <si>
    <t>CHG-PLAN-Scrap - Party Mix</t>
  </si>
  <si>
    <t>CHG-PLAN-Pig Iron - Fines</t>
  </si>
  <si>
    <t>CHG-PLAN-Iron Briquettes</t>
  </si>
  <si>
    <t>CHG-PLAN-Scrap - Pit External</t>
  </si>
  <si>
    <t>CHG-PLAN-Pot Skulls</t>
  </si>
  <si>
    <t>CHG-PLAN-Iron Block Scrap</t>
  </si>
  <si>
    <t>CHG-PLAN-Auto Dies Scrap</t>
  </si>
  <si>
    <t>CHG-PLAN-Iron Button Scrap</t>
  </si>
  <si>
    <t>CHG-PLAN-Boiler Tube Scrap</t>
  </si>
  <si>
    <t>CHG-PLAN-External Tundish Scrap</t>
  </si>
  <si>
    <t>CHG-PLAN-Pot Lips Scrap</t>
  </si>
  <si>
    <t>CHG-PLAN-Scrap - Mine Chain</t>
  </si>
  <si>
    <t>CHG-PLAN-Scrap - Flame Cut Plate</t>
  </si>
  <si>
    <t>CHG-PLAN-Scrap - Monopile Plate</t>
  </si>
  <si>
    <t>CHG-PLAN-Scrap - Form Briqs</t>
  </si>
  <si>
    <t>CHG-PLAN-Scrap - Prime Billets</t>
  </si>
  <si>
    <t>EAF-ALUMINUM CONES</t>
  </si>
  <si>
    <t>EAF-Silicon Manganese</t>
  </si>
  <si>
    <t>EAF-CALCIUM ALUMINATE</t>
  </si>
  <si>
    <t>EAF-CALCIUM CARBIDE</t>
  </si>
  <si>
    <t>EAF-EAF ELECTRODE A</t>
  </si>
  <si>
    <t>EAF-EAF ELECTRODE B</t>
  </si>
  <si>
    <t>EAF-EAF ELECTRODE C</t>
  </si>
  <si>
    <t>EAF-Flux - Deox 70</t>
  </si>
  <si>
    <t>EAF-Aluminum 995</t>
  </si>
  <si>
    <t>EAF-OPTA-LD069</t>
  </si>
  <si>
    <t>EAF-OXYGEN</t>
  </si>
  <si>
    <t>EAF-Nat Gas Scfm</t>
  </si>
  <si>
    <t>EAF-HIGH CAL LIME INJ</t>
  </si>
  <si>
    <t>EAF-QL 7/8 x 1/4 Dolo</t>
  </si>
  <si>
    <t>EAF-CELOX EAF</t>
  </si>
  <si>
    <t>EAF-NITROGEN</t>
  </si>
  <si>
    <t>EAF-SAMPLERS</t>
  </si>
  <si>
    <t>EAF-Injection Carbon</t>
  </si>
  <si>
    <t>EAF-Aluminum - Notch Bar</t>
  </si>
  <si>
    <t>EAF-Bagged Lime</t>
  </si>
  <si>
    <t>EAF-Dolo Injection Lime</t>
  </si>
  <si>
    <t>EAF-HC MN</t>
  </si>
  <si>
    <t>EAF-Desulf-9010</t>
  </si>
  <si>
    <t>EAF-Charge Chrome</t>
  </si>
  <si>
    <t>EAF-MC FeMn</t>
  </si>
  <si>
    <t>EAF-CARBON BAGS</t>
  </si>
  <si>
    <t>EAF-Titanium Oxide</t>
  </si>
  <si>
    <t>EAF-HCFeChrome</t>
  </si>
  <si>
    <t xml:space="preserve">EAF-LOW CARBON MANGANESE </t>
  </si>
  <si>
    <t>LMF-ARGON</t>
  </si>
  <si>
    <t>LMF-LMF Bulk Lime</t>
  </si>
  <si>
    <t>LMF-ALUMINUM CONES</t>
  </si>
  <si>
    <t>LMF-HC MN</t>
  </si>
  <si>
    <t>LMF-Silicon Manganese</t>
  </si>
  <si>
    <t>LMF-MC FeMn</t>
  </si>
  <si>
    <t xml:space="preserve">LMF-LOW CARBON MANGANESE </t>
  </si>
  <si>
    <t>LMF-CALCIUM ALUMINATE</t>
  </si>
  <si>
    <t>LMF-ALUMINUM WIRE</t>
  </si>
  <si>
    <t>LMF-CALCIUM WIRE</t>
  </si>
  <si>
    <t>LMF-LC FeMn Wire</t>
  </si>
  <si>
    <t>LMF-Titanium Wire</t>
  </si>
  <si>
    <t>LMF-ALUMINUM SHRED</t>
  </si>
  <si>
    <t>LMF-Carbon Cored Wire</t>
  </si>
  <si>
    <t>LMF-CALCIUM CARBIDE</t>
  </si>
  <si>
    <t>LMF-CELOX LMF</t>
  </si>
  <si>
    <t>LMF-TEMPERATURE PROBES</t>
  </si>
  <si>
    <t>LMF-SAMPLERS</t>
  </si>
  <si>
    <t>LMF-FERRO-COLUMBIUM</t>
  </si>
  <si>
    <t>LMF-CARBON BAGS</t>
  </si>
  <si>
    <t>LMF-Flux - Deox 70</t>
  </si>
  <si>
    <t>LMF-FeB</t>
  </si>
  <si>
    <t>LMF-FE PH</t>
  </si>
  <si>
    <t>LMF-Ferro Silicone</t>
  </si>
  <si>
    <t>LMF-HCFeChrome</t>
  </si>
  <si>
    <t>LMF-FeTi</t>
  </si>
  <si>
    <t>LMF-FerroMoly</t>
  </si>
  <si>
    <t>LMF-Nickel</t>
  </si>
  <si>
    <t>LMF-FeV</t>
  </si>
  <si>
    <t>LMF-LMF Coke</t>
  </si>
  <si>
    <t>LMF-LMF ELECTRODE A</t>
  </si>
  <si>
    <t>LMF-LMF ELECTRODE B</t>
  </si>
  <si>
    <t>LMF-LMF ELECTRODE C</t>
  </si>
  <si>
    <t>LMF-Copper Blocks</t>
  </si>
  <si>
    <t>LMF-Low Carbon FeCr</t>
  </si>
  <si>
    <t>LMF-NITROGEN</t>
  </si>
  <si>
    <t>LMF-16MM LC FeMa</t>
  </si>
  <si>
    <t>LMF-75% FeSi</t>
  </si>
  <si>
    <t>LMF-Aluminum 995</t>
  </si>
  <si>
    <t>LMF-CALSILMJ</t>
  </si>
  <si>
    <t>LMF-Charge Chrome</t>
  </si>
  <si>
    <t>LMF-MgO</t>
  </si>
  <si>
    <t>CST-AHS5C Mold Powder</t>
  </si>
  <si>
    <t>CST-Starter Powder</t>
  </si>
  <si>
    <t>CST-Temp Tip</t>
  </si>
  <si>
    <t>CST-Sample Tip</t>
  </si>
  <si>
    <t>CST-Hydrogen Tip</t>
  </si>
  <si>
    <t>CST-SEN - 15 RHI</t>
  </si>
  <si>
    <t>CST-Ladle Shroud RHI</t>
  </si>
  <si>
    <t>CST-SEN - Trial</t>
  </si>
  <si>
    <t>CST-Vesuvius Edgeport SEN</t>
  </si>
  <si>
    <t>CST-Ladle Shroud - Trial</t>
  </si>
  <si>
    <t>CST-Vesuvius Shroud</t>
  </si>
  <si>
    <t>CST-Trial Mold Powder</t>
  </si>
  <si>
    <t>CST-NLS-02 Mold Powder</t>
  </si>
  <si>
    <t>CST-Mold Powder 225-B</t>
  </si>
  <si>
    <t>CST-Imerys 788-C Mold Powder</t>
  </si>
  <si>
    <t>CST-LBX-77 Mold Powder</t>
  </si>
  <si>
    <t>CST-JPS-2 Tundish Flux</t>
  </si>
  <si>
    <t>CST-JPS-3 Tundish Flux</t>
  </si>
  <si>
    <t>CST-Trial Tundish Flux</t>
  </si>
  <si>
    <t>MaterialListUpdated</t>
  </si>
  <si>
    <t>HeatID2</t>
  </si>
  <si>
    <t>ChemAnalysisID</t>
  </si>
  <si>
    <t>ChemAnalysisTypeID</t>
  </si>
  <si>
    <t>Chem</t>
  </si>
  <si>
    <t>ChemTypeSeq</t>
  </si>
  <si>
    <t>AppliedTime</t>
  </si>
  <si>
    <t>Cr2O3</t>
  </si>
  <si>
    <t>V2O5</t>
  </si>
  <si>
    <t>FeO</t>
  </si>
  <si>
    <t>MnO</t>
  </si>
  <si>
    <t>P2O5</t>
  </si>
  <si>
    <t>SiO2</t>
  </si>
  <si>
    <t>MgO</t>
  </si>
  <si>
    <t>CaO</t>
  </si>
  <si>
    <t>TiO2</t>
  </si>
  <si>
    <t>Al2O3</t>
  </si>
  <si>
    <t>V-RatioEAF</t>
  </si>
  <si>
    <t>V-RatioLMF</t>
  </si>
  <si>
    <t>B3-Ratio</t>
  </si>
  <si>
    <t>SlagSum</t>
  </si>
  <si>
    <t>C</t>
  </si>
  <si>
    <t>Mn</t>
  </si>
  <si>
    <t>P</t>
  </si>
  <si>
    <t>S</t>
  </si>
  <si>
    <t>Si</t>
  </si>
  <si>
    <t>Cu</t>
  </si>
  <si>
    <t>Cr</t>
  </si>
  <si>
    <t>Ni</t>
  </si>
  <si>
    <t>Mo</t>
  </si>
  <si>
    <t>Al</t>
  </si>
  <si>
    <t>Sn</t>
  </si>
  <si>
    <t>Al/N</t>
  </si>
  <si>
    <t>V</t>
  </si>
  <si>
    <t>Nb</t>
  </si>
  <si>
    <t>Ca</t>
  </si>
  <si>
    <t>Ti</t>
  </si>
  <si>
    <t>Sb</t>
  </si>
  <si>
    <t>N</t>
  </si>
  <si>
    <t>B</t>
  </si>
  <si>
    <t>Pb</t>
  </si>
  <si>
    <t>H</t>
  </si>
  <si>
    <t>Spec</t>
  </si>
  <si>
    <t>As</t>
  </si>
  <si>
    <t>O</t>
  </si>
  <si>
    <t>Na</t>
  </si>
  <si>
    <t>W</t>
  </si>
  <si>
    <t>Zn</t>
  </si>
  <si>
    <t>K</t>
  </si>
  <si>
    <t>Mg</t>
  </si>
  <si>
    <t>Ce</t>
  </si>
  <si>
    <t>Spec (IIW)</t>
  </si>
  <si>
    <t>Spec (AWS)</t>
  </si>
  <si>
    <t>Ti/N</t>
  </si>
  <si>
    <t>Ca/S</t>
  </si>
  <si>
    <t>Al*N</t>
  </si>
  <si>
    <t>Hydr</t>
  </si>
  <si>
    <t>SigRes</t>
  </si>
  <si>
    <t>Cu Eq</t>
  </si>
  <si>
    <t>Cu+Ni+Cr</t>
  </si>
  <si>
    <t>V+Nb+Ti</t>
  </si>
  <si>
    <t>Cu+Ni+Cr+Mo</t>
  </si>
  <si>
    <t>G101</t>
  </si>
  <si>
    <t>Cu/Ni</t>
  </si>
  <si>
    <t>Ni/Cu</t>
  </si>
  <si>
    <t>ElementListUpdated</t>
  </si>
  <si>
    <t>Ladle 6</t>
  </si>
  <si>
    <t>LMF South</t>
  </si>
  <si>
    <t>ST-MC (0.17/0.18 - 0.21/0.22)</t>
  </si>
  <si>
    <t>Composite</t>
  </si>
  <si>
    <t>&lt;.0010</t>
  </si>
  <si>
    <t>&lt;.0005</t>
  </si>
  <si>
    <t>&lt;.0001</t>
  </si>
  <si>
    <t>YES</t>
  </si>
  <si>
    <t>Ladle 2</t>
  </si>
  <si>
    <t>Submitted</t>
  </si>
  <si>
    <t>LMF North</t>
  </si>
  <si>
    <t>A-Peri</t>
  </si>
  <si>
    <t>A</t>
  </si>
  <si>
    <t>MA-Peritectic</t>
  </si>
  <si>
    <t>&lt;.0030</t>
  </si>
  <si>
    <t>HRC: Std Opt;</t>
  </si>
  <si>
    <t>Ladle 5</t>
  </si>
  <si>
    <t>APeri</t>
  </si>
  <si>
    <t>Ladle 9</t>
  </si>
  <si>
    <t>Peri</t>
  </si>
  <si>
    <t>ST-Peritectic</t>
  </si>
  <si>
    <t>EAFMA204</t>
  </si>
  <si>
    <t>S#2 Cast</t>
  </si>
  <si>
    <t>MA204</t>
  </si>
  <si>
    <t>MA204 (MA204 for JSW Baytown)</t>
  </si>
  <si>
    <t>Ladle 11</t>
  </si>
  <si>
    <t>9 x 0 x 0</t>
  </si>
  <si>
    <t>9 x 74 x 330</t>
  </si>
  <si>
    <t>SL-MA204-9-74.8-330</t>
  </si>
  <si>
    <t>AMedC</t>
  </si>
  <si>
    <t>When S is over 0.007; do not add Ca</t>
  </si>
  <si>
    <t>EAFCM302</t>
  </si>
  <si>
    <t>BT; No Opt; last slabs &gt;=276" okay</t>
  </si>
  <si>
    <t>CM302</t>
  </si>
  <si>
    <t>CM302-0</t>
  </si>
  <si>
    <t>CM302-0 (CM302 for JSW Baytown)</t>
  </si>
  <si>
    <t>SL-CM302-9-74.8-330</t>
  </si>
  <si>
    <t xml:space="preserve"> S#2 Cast BT; No Opt; last slabs &gt;=276" okay</t>
  </si>
  <si>
    <t>EAF7604</t>
  </si>
  <si>
    <t>HRC: Std Opt; varying cutlengths</t>
  </si>
  <si>
    <t xml:space="preserve">- </t>
  </si>
  <si>
    <t>7604 (HSLA Gr 55 &gt;= 0.5"; A572-55 Type 1)</t>
  </si>
  <si>
    <t>Reference TWI# JSW-TWI24-LMF005 for Ti Aim</t>
  </si>
  <si>
    <t>Reference TWI# JSW-TWI24-LMF005 for Ti Aim S#2 Cast HRC: Std Opt; varying cutlengths</t>
  </si>
  <si>
    <t>EAFCM102</t>
  </si>
  <si>
    <t>CM102</t>
  </si>
  <si>
    <t>CM102 (CM102 for JSW Baytown)</t>
  </si>
  <si>
    <t>Caster</t>
  </si>
  <si>
    <t>9147-3</t>
  </si>
  <si>
    <t>Shroud Change</t>
  </si>
  <si>
    <t>EAFMA313P</t>
  </si>
  <si>
    <t>MA313P</t>
  </si>
  <si>
    <t>MA313P (MA313P for JSW Baytown)</t>
  </si>
  <si>
    <t>9 x 74 x 308</t>
  </si>
  <si>
    <t>SL-MA313P-9-74.8-308</t>
  </si>
  <si>
    <t>When S is over 0.007; do not add Ca S#2 Cast BT; No Opt; last slabs &gt;=276" okay</t>
  </si>
  <si>
    <t>9046-12</t>
  </si>
  <si>
    <t>-</t>
  </si>
  <si>
    <t>15t 55-60</t>
  </si>
  <si>
    <t>4th temp 2797</t>
  </si>
  <si>
    <t>Heat# from [] to [18476] on EAFStart Already At LMF-S! LMFArrive Ignored</t>
  </si>
  <si>
    <t>18476 (Submitted)</t>
  </si>
  <si>
    <t>9 x 74 x 278</t>
  </si>
  <si>
    <t>SL-MA313P-9-74.8-278</t>
  </si>
  <si>
    <t>9046-6</t>
  </si>
  <si>
    <t>BT; No Opt; last slabs &gt;=276" okayvarying cutlengths</t>
  </si>
  <si>
    <t>704 gunned slag door; jams and by burner 1 | 700 banked furnace | 703 pulled A phase electrode and hooked up the magnet to 269 to pull a scab that was jammed inbetween the delta and electrode. | 153 f</t>
  </si>
  <si>
    <t xml:space="preserve">35 after 60 </t>
  </si>
  <si>
    <t>Heat# from [] to [18487] on EAFStart</t>
  </si>
  <si>
    <t>18487 (Submitted)</t>
  </si>
  <si>
    <t>#10N(R)170.7m</t>
  </si>
  <si>
    <t>When S is over 0.007; do not add Ca S#2 Cast BT; No Opt; last slabs &gt;=276" okayvarying cutlengths</t>
  </si>
  <si>
    <t>-  | -</t>
  </si>
  <si>
    <t>Heat# from [] to [18481] on EAFStart</t>
  </si>
  <si>
    <t>Ladle 7</t>
  </si>
  <si>
    <t>18481 (Submitted)</t>
  </si>
  <si>
    <t>SL-CM102-9-74.8-330</t>
  </si>
  <si>
    <t>9147-1</t>
  </si>
  <si>
    <t>Shroud change @ 253.4m</t>
  </si>
  <si>
    <t>Heat# from [] to [18482] on EAFStart</t>
  </si>
  <si>
    <t>18482 (Submitted)</t>
  </si>
  <si>
    <t>EAFCM201</t>
  </si>
  <si>
    <t xml:space="preserve">607 slipped a phase | -  | - </t>
  </si>
  <si>
    <t>Heat# from [] to [18497] on EAFStart Already At LMF-N! LMFArrive Ignored Already At LMF-N! LMFArrive Ignored</t>
  </si>
  <si>
    <t>CM201</t>
  </si>
  <si>
    <t>CM201-2</t>
  </si>
  <si>
    <t>CM201-2 (CM201 for JSW Baytown)</t>
  </si>
  <si>
    <t>18497 (Submitted)</t>
  </si>
  <si>
    <t>SL-CM201-9-74.8-330</t>
  </si>
  <si>
    <t>9147-2</t>
  </si>
  <si>
    <t>807 pulling and pushing in lane 2</t>
  </si>
  <si>
    <t>Capped str2 off @ 119m(lost pinchroll drives/encoders) 2821*</t>
  </si>
  <si>
    <t>Not Melting! EAFTap Ignored REJECTED Heat# change from [] to [18524] on LMFArrive</t>
  </si>
  <si>
    <t>18524 (Submitted)</t>
  </si>
  <si>
    <t>9 x 49 x 375</t>
  </si>
  <si>
    <t>9 x 61 x 307</t>
  </si>
  <si>
    <t>SL7604-49-R02</t>
  </si>
  <si>
    <t>SL7604-61-R01</t>
  </si>
  <si>
    <t>lost str2 pinch roll drives</t>
  </si>
  <si>
    <t>Reference TWI# JSW-TWI24-LMF005 for Ti Aim HRC: Std Opt; HRC: Std Opt;</t>
  </si>
  <si>
    <t>8955/9102</t>
  </si>
  <si>
    <t xml:space="preserve">-  | - </t>
  </si>
  <si>
    <t>Ladle 10</t>
  </si>
  <si>
    <t>LMF</t>
  </si>
  <si>
    <t>EAFMA711</t>
  </si>
  <si>
    <t>MA711</t>
  </si>
  <si>
    <t>MA711 (MA711 (TC128 and A612))</t>
  </si>
  <si>
    <t>SL-MA711-9-74.8-330</t>
  </si>
  <si>
    <t>9 x 73 x 307</t>
  </si>
  <si>
    <t>SL7604-73-R05</t>
  </si>
  <si>
    <t>Already At LMF-N! LMFArrive Ignored</t>
  </si>
  <si>
    <t>Already At LMF-N! LMFArrive Ignored Not at LMF! LMFDepart Ignored</t>
  </si>
  <si>
    <t>4th temp 2815</t>
  </si>
  <si>
    <t>4th temp 2811</t>
  </si>
  <si>
    <t>S#3 Cast</t>
  </si>
  <si>
    <t>334 had to chip open hatch hole</t>
  </si>
  <si>
    <t>18531 (Submitted)</t>
  </si>
  <si>
    <t>Reference TWI# JSW-TWI24-LMF005 for Ti Aim S#3 Cast HRC: Std Opt; varying cutlengths</t>
  </si>
  <si>
    <t>Tube change@371.7m</t>
  </si>
  <si>
    <t>Heat# from [] to [18483] on EAFStart</t>
  </si>
  <si>
    <t>18483 (Submitted)</t>
  </si>
  <si>
    <t>(Y)#7S@372.2m (Y)#9S@372.2m</t>
  </si>
  <si>
    <t>Cut str1 @ 76m to make connection</t>
  </si>
  <si>
    <t>Heat# from [] to [18526] on EAFStart</t>
  </si>
  <si>
    <t>18526 (Submitted)</t>
  </si>
  <si>
    <t>9107/9123</t>
  </si>
  <si>
    <t>BT; No Opt; last slabs &gt;=276" okay;varying cutlengths</t>
  </si>
  <si>
    <t>321 faulted out; didnt want to restart | 628 -</t>
  </si>
  <si>
    <t>Shroud Change 4th temp 2791</t>
  </si>
  <si>
    <t>Heat# from [] to [18488] on EAFStart Already At LMF-S! LMFArrive Ignored</t>
  </si>
  <si>
    <t>18488 (Submitted)</t>
  </si>
  <si>
    <t>When S is over 0.007; do not add Ca S#2 Cast BT; No Opt; last slabs &gt;=276" okay;varying cutlengths</t>
  </si>
  <si>
    <t>8:35 2860</t>
  </si>
  <si>
    <t>Already At LMF-S! LMFArrive Ignored Already At LMF-N! LMFArrive Ignored</t>
  </si>
  <si>
    <t>18479 (Submitted)</t>
  </si>
  <si>
    <t>Heat# from [] to [18480] on EAFStart Already At LMF-S! LMFArrive Ignored</t>
  </si>
  <si>
    <t>18480 (Submitted)</t>
  </si>
  <si>
    <t>15 after  55</t>
  </si>
  <si>
    <t>EAFOrderChanged: Heat [18485] requested HeatID 28469  Forced from Melting to Scheduled by Heat 18485 Heat# from [] to [18489] on EAFStart</t>
  </si>
  <si>
    <t>18489 (Submitted)</t>
  </si>
  <si>
    <t>#9N(R)302m</t>
  </si>
  <si>
    <t>Heat# from [] to [18484] on EAFStart  Forced from Melting to Scheduled by Heat 18484 EAFOrderChanged: Heat [18484] requested HeatID 28453  Forced from Melting to Scheduled by Heat 18484 EAFOrderChanged: Heat [18484] requested HeatID 28453  Forced from Melting to Scheduled by Heat 18484 EAFOrderChanged: Heat [18484] requested HeatID 28453</t>
  </si>
  <si>
    <t>18484 (Submitted)</t>
  </si>
  <si>
    <t>382 heel did not register | 628 -</t>
  </si>
  <si>
    <t>4th temp 2826</t>
  </si>
  <si>
    <t>Heat# from [] to [18532] on EAFStart Already At LMF-S! LMFArrive Ignored</t>
  </si>
  <si>
    <t>18532 (Submitted)</t>
  </si>
  <si>
    <t>Heat# from [] to [18525] on EAFStart Already At LMF-N! LMFArrive Ignored Already At LMF-N! LMFArrive Ignored Not at LMF! LMFDepart Ignored</t>
  </si>
  <si>
    <t>18525 (Submitted)</t>
  </si>
  <si>
    <t>702 pushed a bag through the door | 605 - | 807 conveyer ran empty during line 1 change</t>
  </si>
  <si>
    <t>Heat# from [] to [18533] on EAFStart Already At LMF-N! LMFArrive Ignored</t>
  </si>
  <si>
    <t>18533 (Submitted)</t>
  </si>
  <si>
    <t>Cap-off</t>
  </si>
  <si>
    <t xml:space="preserve">814 caster turnaround | 338  b phase | - </t>
  </si>
  <si>
    <t xml:space="preserve">20t 65 </t>
  </si>
  <si>
    <t>18527 (Submitted)</t>
  </si>
  <si>
    <t>Reference TWI# JSW-TWI24-LMF005 for Ti Aim Cap-off HRC: Std Opt;</t>
  </si>
  <si>
    <t>9158/9107</t>
  </si>
  <si>
    <t>BT; No Opt; last slabs &gt;=276" okay; varying cutlengths</t>
  </si>
  <si>
    <t xml:space="preserve">604 changed A phase slipped C phase | 610 broke A phase tilting the furnace | - </t>
  </si>
  <si>
    <t>Caster- Setup (53min)</t>
  </si>
  <si>
    <t>EAFOrderChanged: Heat [18484] requested HeatID 28443  Forced from Melting to Scheduled by Heat 18484 EAFOrderChanged: Heat [18485] requested HeatID 28443 Heat State Invalid [610] LMFDepart Ignored</t>
  </si>
  <si>
    <t>18485 (Submitted)</t>
  </si>
  <si>
    <t>When S is over 0.007; do not add Ca S#2 Cast BT; No Opt; last slabs &gt;=276" okay; varying cutlengths</t>
  </si>
  <si>
    <t>AMC</t>
  </si>
  <si>
    <t>BT; No Opt; last slabs &gt;=276" okay; Varying cutlengths</t>
  </si>
  <si>
    <t xml:space="preserve">152 preheat 1 and 2 high temp | -  | - </t>
  </si>
  <si>
    <t xml:space="preserve">20 after 55-60 </t>
  </si>
  <si>
    <t>Heat# from [] to [18477] on EAFStart  Forced from Melting to Scheduled by Heat 18477 EAFOrderChanged: Heat [18477] requested HeatID 28442  Forced from Melting to Scheduled by Heat 18477 Heat# from [] to [18478] on EAFStart  Forced from Melting to Scheduled by Heat 18478 Heat# from [] to [18486] on EAFStart</t>
  </si>
  <si>
    <t>18486 (Submitted)</t>
  </si>
  <si>
    <t>#4N(R)55.2m</t>
  </si>
  <si>
    <t>When S is over 0.007; do not add Ca S#2 Cast BT; No Opt; last slabs &gt;=276" okay; Varying cutlengths</t>
  </si>
  <si>
    <t>625 need KT with the long bit</t>
  </si>
  <si>
    <t>Heat# from [] to [18534] on EAFStart Already At LMF-S! LMFArrive Ignored</t>
  </si>
  <si>
    <t>18534 (Submitted)</t>
  </si>
  <si>
    <t>631 change pole</t>
  </si>
  <si>
    <t>15 after  55 60</t>
  </si>
  <si>
    <t>EAFOrderChanged: Heat [18484] requested HeatID 28454  Forced from Melting to Scheduled by Heat 18484 Heat# from [] to [18491] on EAFStart Not at LMF! LMFDepart Ignored</t>
  </si>
  <si>
    <t>18491 (Submitted)</t>
  </si>
  <si>
    <t>625 unmelted scrap covering the taphole</t>
  </si>
  <si>
    <t>Heat# from [] to [18492] on EAFStart Already At LMF-S! LMFArrive Ignored</t>
  </si>
  <si>
    <t>18492 (Submitted)</t>
  </si>
  <si>
    <t>248 carbon 2 leaking  around block | 700 -banking around burner 1 | 628 -</t>
  </si>
  <si>
    <t>15a 60</t>
  </si>
  <si>
    <t>Shroud Change 4th temp 2809 Tube Change 382.7m</t>
  </si>
  <si>
    <t>Heat# from [] to [18474] on EAFStart Already At LMF-S! LMFArrive Ignored</t>
  </si>
  <si>
    <t>18474 (Submitted)</t>
  </si>
  <si>
    <t>708 had to check sand from the sump; couldnt see through the door because of a cave in</t>
  </si>
  <si>
    <t>130 after  60</t>
  </si>
  <si>
    <t>Heat# from [] to [18475] on EAFStart</t>
  </si>
  <si>
    <t>18475 (Submitted)</t>
  </si>
  <si>
    <t>35 after  55  60</t>
  </si>
  <si>
    <t>0.90m/m@211.9m (EAF scrap crane issues)</t>
  </si>
  <si>
    <t>Heat# from [] to [18493] on EAFStart</t>
  </si>
  <si>
    <t>18493 (Submitted)</t>
  </si>
  <si>
    <t>A-Med-C</t>
  </si>
  <si>
    <t>625 piece of banking material covering top | 607 - | 608 - | 631 Could not read temp | 247 all carbons plugged</t>
  </si>
  <si>
    <t>Heat# from [] to [18530] on EAFStart Already At LMF-S! LMFArrive Ignored Not at LMF! LMFDepart Ignored</t>
  </si>
  <si>
    <t>18530 (Submitted)</t>
  </si>
  <si>
    <t>605 - | 600 low ppm</t>
  </si>
  <si>
    <t>Heat# from [] to [18494] on EAFStart Already At LMF-S! LMFArrive Ignored</t>
  </si>
  <si>
    <t>18494 (Submitted)</t>
  </si>
  <si>
    <t xml:space="preserve">807 Scrap cranes fell behind letting them catch up and bunch up scrap | - </t>
  </si>
  <si>
    <t>1.10m/m@212.4m</t>
  </si>
  <si>
    <t>EAFOrderChanged: Heat [18485] requested HeatID 28470  Forced from Melting to Scheduled by Heat 18485 Heat# from [] to [18505] on EAFStart</t>
  </si>
  <si>
    <t>18505 (Submitted)</t>
  </si>
  <si>
    <t xml:space="preserve">374 would not run in remote; had to run it manually | 186 magnet cable wore out; waiting on scrap; running 1 crane | 186 magnet cable; conveyer ran empty | -  | - </t>
  </si>
  <si>
    <t xml:space="preserve">2860 5 after </t>
  </si>
  <si>
    <t>Tube change @ 386.7m</t>
  </si>
  <si>
    <t>Heat# from [] to [18495] on EAFStart</t>
  </si>
  <si>
    <t>18495 (Submitted)</t>
  </si>
  <si>
    <t>625 scrap over taphole lanced it out to sand taphole | 293 locking pin stuck | 704 gunning material wasnt mixing properly with water. | 700 banking the furnace | 700 banks were in bad condition so we</t>
  </si>
  <si>
    <t xml:space="preserve">75% 2870 </t>
  </si>
  <si>
    <t>Caster turn-around and set up (50mins). EAF staging heats. First heat ordered for 75% arcing on 3rd heat.</t>
  </si>
  <si>
    <t>Heat# from [] to [18506] on EAFStart Already At LMF-S! LMFArrive Ignored</t>
  </si>
  <si>
    <t>18506 (Submitted)</t>
  </si>
  <si>
    <t>9147-5</t>
  </si>
  <si>
    <t>1.00m/m@410.6m 0.90m/m@448.6m (LMF shipping late) 0.80m/m@451.7m 0.70m/m@457.1 (to make connection)</t>
  </si>
  <si>
    <t>Heat# from [] to [18496] on EAFStart Not at LMF! LMFDepart Ignored</t>
  </si>
  <si>
    <t>18496 (Submitted)</t>
  </si>
  <si>
    <t>608 slipping b phase electrode</t>
  </si>
  <si>
    <t>Heat# from [] to [18507] on EAFStart</t>
  </si>
  <si>
    <t>18507 (Submitted)</t>
  </si>
  <si>
    <t>606 changed c phase electrode</t>
  </si>
  <si>
    <t>0.80m/m@183.7m (LMF shipping late) 0.70m/m@197.1m(to make connection)</t>
  </si>
  <si>
    <t>Heat# from [] to [18508] on EAFStart Already At LMF-S! LMFArrive Ignored</t>
  </si>
  <si>
    <t>18508 (Submitted)</t>
  </si>
  <si>
    <t>(Y)#4S@150.1m</t>
  </si>
  <si>
    <t xml:space="preserve">604 changing A phase | - </t>
  </si>
  <si>
    <t>0.90m/m@205.2m</t>
  </si>
  <si>
    <t>Heat# from [] to [18509] on EAFStart Forced LMF Depart by Heat 18510</t>
  </si>
  <si>
    <t>18509 (Submitted)</t>
  </si>
  <si>
    <t>Had to reladle (no stir).</t>
  </si>
  <si>
    <t xml:space="preserve">15t 50 </t>
  </si>
  <si>
    <t xml:space="preserve">374 sander hit the furnace from fastback. had to reset the sander and adjust the furnace. | 807 pulled and pushed in line 2 scrap cranes were waiting on bush | -  | - </t>
  </si>
  <si>
    <t>Heat# from [] to [18510] on EAFStart Already At LMF-S! LMFArrive Ignored Forced LMF Depart by Heat 18509 Not at LMF! LMFDepart Ignored</t>
  </si>
  <si>
    <t>18510 (Submitted)</t>
  </si>
  <si>
    <t xml:space="preserve">400 55-60 </t>
  </si>
  <si>
    <t>EAFOrderChanged: Heat [18477] requested HeatID 28446  Forced from Melting to Scheduled by Heat 18477 EAFOrderChanged: Heat [18477] requested HeatID 28446 Already At LMF-S! LMFArrive Ignored Heat State Invalid [610] LMFArrive Ignored Heat State Invalid [800] LMFDepart Ignored</t>
  </si>
  <si>
    <t>18477 (Submitted)</t>
  </si>
  <si>
    <t>700 - | 704 - | 607 - | 608 - | 609 - | 628  | -</t>
  </si>
  <si>
    <t>Caster turn-around and set up(56mins). First heat ordered for when EAF ready.</t>
  </si>
  <si>
    <t>EAFOrderChanged: Heat [18478] requested HeatID 28447 Heat# from [18478] to [18479] on EAFStart REJECTED Heat# change from [18479] to [18478] on LMFArrive</t>
  </si>
  <si>
    <t>18478 (Submitted)</t>
  </si>
  <si>
    <t xml:space="preserve">220 bombing a bag of bank material on the slag door  | 807 waiting for scrap cranes to load the conveyor | 807 waiting on scrap cranes to load the conveyor | -  | - </t>
  </si>
  <si>
    <t>Heat# from [] to [18511] on EAFStart Already At LMF-S! LMFArrive Ignored</t>
  </si>
  <si>
    <t>18511 (Submitted)</t>
  </si>
  <si>
    <t>700 banking the furnace due to a turnaround from reladling 2 times in one sequence | 700 baking in banks | 807 Swapping lane 2 and bunching up scrap | 620 Had to swap out the slag pot to slag off the</t>
  </si>
  <si>
    <t xml:space="preserve">730 50 </t>
  </si>
  <si>
    <t>Heat# from [] to [18512] on EAFStart Already At LMF-N! LMFArrive Ignored Not at LMF! LMFDepart Ignored</t>
  </si>
  <si>
    <t>18512 (Submitted)</t>
  </si>
  <si>
    <t xml:space="preserve">625 chunk of taphole stuck had kt knock it out of way to sand </t>
  </si>
  <si>
    <t>Heat# from [] to [18513] on EAFStart Already At LMF-S! LMFArrive Ignored</t>
  </si>
  <si>
    <t>18513 (Submitted)</t>
  </si>
  <si>
    <t>714 Dropped a 2;000 pound bag of NN25 on the taphole there was a cut in the banks on the south east coming from the taphole</t>
  </si>
  <si>
    <t xml:space="preserve">1240 65 </t>
  </si>
  <si>
    <t>Heat# from [] to [18514] on EAFStart Already At LMF-N! LMFArrive Ignored Not at LMF! LMFDepart Ignored</t>
  </si>
  <si>
    <t>18514 (Submitted)</t>
  </si>
  <si>
    <t>9147-11</t>
  </si>
  <si>
    <t>Heat# from [] to [18515] on EAFStart Already At LMF-S! LMFArrive Ignored</t>
  </si>
  <si>
    <t>18515 (Submitted)</t>
  </si>
  <si>
    <t>704 Could not get any material from the gun likely due to a bad solenoid | 700 2 heats out caster still casting last sequence  | 605 - | 607 - | 609 -</t>
  </si>
  <si>
    <t xml:space="preserve"> C phase spray ring fell off on this heat</t>
  </si>
  <si>
    <t xml:space="preserve">15t 45 </t>
  </si>
  <si>
    <t>18516 (Submitted)</t>
  </si>
  <si>
    <t>610 -</t>
  </si>
  <si>
    <t>Heat# from [] to [18517] on EAFStart Already At LMF-S! LMFArrive Ignored</t>
  </si>
  <si>
    <t>18517 (Submitted)</t>
  </si>
  <si>
    <t>627  | 321 Pre heat faulted out and could not get all 3 conveyers to stay running ended up hitting the stop buttons on the manuel screen and they started up and are still running</t>
  </si>
  <si>
    <t>0.90m/m@284.8m</t>
  </si>
  <si>
    <t>Heat# from [] to [18518] on EAFStart Already At LMF-N! LMFArrive Ignored Not at LMF! LMFDepart Ignored</t>
  </si>
  <si>
    <t>18518 (Submitted)</t>
  </si>
  <si>
    <t>Heat# from [] to [18519] on EAFStart Already At LMF-S! LMFArrive Ignored</t>
  </si>
  <si>
    <t>18519 (Submitted)</t>
  </si>
  <si>
    <t xml:space="preserve">220 bombed a bag of nn 25 on door  | - </t>
  </si>
  <si>
    <t>1.00m/m@433.9m</t>
  </si>
  <si>
    <t>18520 (Submitted)</t>
  </si>
  <si>
    <t>Heat# from [] to [18521] on EAFStart Already At LMF-S! LMFArrive Ignored</t>
  </si>
  <si>
    <t>18521 (Submitted)</t>
  </si>
  <si>
    <t>334 slag covering hole to sand had to hit it out to sand the taphole | 321 preheat drive fault</t>
  </si>
  <si>
    <t>Heat# from [] to [18523] on EAFStart Already At LMF-S! LMFArrive Ignored Already At LMF-N! LMFArrive Ignored Not at LMF! LMFDepart Ignored</t>
  </si>
  <si>
    <t>18523 (Submitted)</t>
  </si>
  <si>
    <t>8896/9102</t>
  </si>
  <si>
    <t>Newcol</t>
  </si>
  <si>
    <t>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</si>
</sst>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14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0A790-6CB1-4C3C-9A71-DAE0FCEF2BB6}">
  <dimension ref="A1:UR51"/>
  <sheetViews>
    <sheetView tabSelected="1" workbookViewId="0"/>
  </sheetViews>
  <sheetFormatPr defaultRowHeight="14.5" x14ac:dyDescent="0.35"/>
  <cols>
    <col min="1" max="1" width="6.54296875" bestFit="1" customWidth="1"/>
    <col min="2" max="2" width="11.54296875" bestFit="1" customWidth="1"/>
    <col min="3" max="3" width="11.6328125" bestFit="1" customWidth="1"/>
    <col min="4" max="4" width="10.54296875" bestFit="1" customWidth="1"/>
    <col min="5" max="5" width="8.26953125" bestFit="1" customWidth="1"/>
    <col min="6" max="6" width="7.08984375" bestFit="1" customWidth="1"/>
    <col min="7" max="7" width="10.81640625" bestFit="1" customWidth="1"/>
    <col min="8" max="8" width="10.26953125" bestFit="1" customWidth="1"/>
    <col min="9" max="9" width="15.54296875" bestFit="1" customWidth="1"/>
    <col min="10" max="10" width="14" bestFit="1" customWidth="1"/>
    <col min="11" max="11" width="14.453125" bestFit="1" customWidth="1"/>
    <col min="12" max="12" width="65.453125" bestFit="1" customWidth="1"/>
    <col min="13" max="13" width="14" bestFit="1" customWidth="1"/>
    <col min="14" max="14" width="14.453125" bestFit="1" customWidth="1"/>
    <col min="15" max="15" width="61" bestFit="1" customWidth="1"/>
    <col min="16" max="16" width="11.26953125" bestFit="1" customWidth="1"/>
    <col min="17" max="17" width="8.1796875" bestFit="1" customWidth="1"/>
    <col min="18" max="18" width="11.453125" bestFit="1" customWidth="1"/>
    <col min="19" max="19" width="15.54296875" bestFit="1" customWidth="1"/>
    <col min="20" max="20" width="15.81640625" bestFit="1" customWidth="1"/>
    <col min="21" max="21" width="20.08984375" bestFit="1" customWidth="1"/>
    <col min="22" max="22" width="16" bestFit="1" customWidth="1"/>
    <col min="23" max="23" width="20.26953125" bestFit="1" customWidth="1"/>
    <col min="24" max="24" width="15.08984375" bestFit="1" customWidth="1"/>
    <col min="25" max="25" width="15.54296875" bestFit="1" customWidth="1"/>
    <col min="26" max="26" width="10.08984375" bestFit="1" customWidth="1"/>
    <col min="27" max="27" width="10.7265625" bestFit="1" customWidth="1"/>
    <col min="28" max="28" width="12.1796875" bestFit="1" customWidth="1"/>
    <col min="29" max="29" width="10.7265625" bestFit="1" customWidth="1"/>
    <col min="30" max="30" width="13.08984375" bestFit="1" customWidth="1"/>
    <col min="31" max="31" width="13.6328125" bestFit="1" customWidth="1"/>
    <col min="32" max="32" width="11.54296875" bestFit="1" customWidth="1"/>
    <col min="33" max="33" width="12.90625" bestFit="1" customWidth="1"/>
    <col min="34" max="34" width="15.26953125" bestFit="1" customWidth="1"/>
    <col min="35" max="35" width="11.54296875" bestFit="1" customWidth="1"/>
    <col min="36" max="36" width="12.90625" bestFit="1" customWidth="1"/>
    <col min="37" max="37" width="15.26953125" bestFit="1" customWidth="1"/>
    <col min="38" max="38" width="15.453125" bestFit="1" customWidth="1"/>
    <col min="39" max="39" width="175.90625" bestFit="1" customWidth="1"/>
    <col min="40" max="40" width="77.08984375" bestFit="1" customWidth="1"/>
    <col min="41" max="41" width="15.54296875" bestFit="1" customWidth="1"/>
    <col min="42" max="42" width="7.7265625" bestFit="1" customWidth="1"/>
    <col min="43" max="43" width="13.81640625" bestFit="1" customWidth="1"/>
    <col min="44" max="44" width="15" bestFit="1" customWidth="1"/>
    <col min="45" max="46" width="15.54296875" bestFit="1" customWidth="1"/>
    <col min="47" max="47" width="20.453125" bestFit="1" customWidth="1"/>
    <col min="48" max="48" width="21.54296875" bestFit="1" customWidth="1"/>
    <col min="49" max="49" width="12.6328125" bestFit="1" customWidth="1"/>
    <col min="50" max="50" width="16.6328125" bestFit="1" customWidth="1"/>
    <col min="51" max="51" width="13.453125" bestFit="1" customWidth="1"/>
    <col min="52" max="52" width="14.1796875" bestFit="1" customWidth="1"/>
    <col min="53" max="53" width="12.54296875" bestFit="1" customWidth="1"/>
    <col min="54" max="54" width="13" bestFit="1" customWidth="1"/>
    <col min="55" max="55" width="12.26953125" bestFit="1" customWidth="1"/>
    <col min="56" max="56" width="15.81640625" bestFit="1" customWidth="1"/>
    <col min="57" max="57" width="18.54296875" bestFit="1" customWidth="1"/>
    <col min="58" max="58" width="58.36328125" bestFit="1" customWidth="1"/>
    <col min="59" max="59" width="15.54296875" bestFit="1" customWidth="1"/>
    <col min="60" max="60" width="16.26953125" bestFit="1" customWidth="1"/>
    <col min="61" max="62" width="15.54296875" bestFit="1" customWidth="1"/>
    <col min="64" max="64" width="11" bestFit="1" customWidth="1"/>
    <col min="65" max="65" width="7.36328125" bestFit="1" customWidth="1"/>
    <col min="66" max="66" width="16.81640625" bestFit="1" customWidth="1"/>
    <col min="67" max="67" width="15.6328125" bestFit="1" customWidth="1"/>
    <col min="68" max="68" width="16.453125" bestFit="1" customWidth="1"/>
    <col min="69" max="69" width="17.7265625" bestFit="1" customWidth="1"/>
    <col min="70" max="70" width="150.36328125" bestFit="1" customWidth="1"/>
    <col min="71" max="71" width="141" bestFit="1" customWidth="1"/>
    <col min="72" max="73" width="15.54296875" bestFit="1" customWidth="1"/>
    <col min="74" max="74" width="13.453125" bestFit="1" customWidth="1"/>
    <col min="75" max="75" width="14.36328125" bestFit="1" customWidth="1"/>
    <col min="76" max="76" width="10.54296875" bestFit="1" customWidth="1"/>
    <col min="77" max="78" width="14.453125" bestFit="1" customWidth="1"/>
    <col min="79" max="79" width="9.7265625" bestFit="1" customWidth="1"/>
    <col min="80" max="80" width="6.90625" bestFit="1" customWidth="1"/>
    <col min="81" max="82" width="16" bestFit="1" customWidth="1"/>
    <col min="83" max="84" width="25.1796875" bestFit="1" customWidth="1"/>
    <col min="85" max="86" width="26.6328125" bestFit="1" customWidth="1"/>
    <col min="87" max="88" width="9.7265625" bestFit="1" customWidth="1"/>
    <col min="89" max="90" width="20.90625" bestFit="1" customWidth="1"/>
    <col min="91" max="91" width="17.7265625" bestFit="1" customWidth="1"/>
    <col min="92" max="92" width="13.81640625" bestFit="1" customWidth="1"/>
    <col min="93" max="94" width="11.6328125" bestFit="1" customWidth="1"/>
    <col min="95" max="96" width="9.7265625" bestFit="1" customWidth="1"/>
    <col min="97" max="99" width="13.26953125" bestFit="1" customWidth="1"/>
    <col min="100" max="101" width="20.08984375" bestFit="1" customWidth="1"/>
    <col min="102" max="102" width="20" bestFit="1" customWidth="1"/>
    <col min="103" max="103" width="20.81640625" bestFit="1" customWidth="1"/>
    <col min="104" max="105" width="20.08984375" bestFit="1" customWidth="1"/>
    <col min="106" max="106" width="20" bestFit="1" customWidth="1"/>
    <col min="107" max="107" width="20.81640625" bestFit="1" customWidth="1"/>
    <col min="108" max="109" width="23.1796875" bestFit="1" customWidth="1"/>
    <col min="110" max="110" width="23.08984375" bestFit="1" customWidth="1"/>
    <col min="111" max="111" width="23.90625" bestFit="1" customWidth="1"/>
    <col min="112" max="113" width="23.1796875" bestFit="1" customWidth="1"/>
    <col min="114" max="114" width="23.08984375" bestFit="1" customWidth="1"/>
    <col min="115" max="115" width="23.90625" bestFit="1" customWidth="1"/>
    <col min="116" max="117" width="23.1796875" bestFit="1" customWidth="1"/>
    <col min="118" max="118" width="23.08984375" bestFit="1" customWidth="1"/>
    <col min="119" max="119" width="23.90625" bestFit="1" customWidth="1"/>
    <col min="120" max="121" width="23.1796875" bestFit="1" customWidth="1"/>
    <col min="122" max="122" width="23.08984375" bestFit="1" customWidth="1"/>
    <col min="123" max="123" width="23.90625" bestFit="1" customWidth="1"/>
    <col min="124" max="125" width="23.1796875" bestFit="1" customWidth="1"/>
    <col min="126" max="126" width="23.08984375" bestFit="1" customWidth="1"/>
    <col min="127" max="127" width="23.90625" bestFit="1" customWidth="1"/>
    <col min="128" max="129" width="23.1796875" bestFit="1" customWidth="1"/>
    <col min="130" max="130" width="23.08984375" bestFit="1" customWidth="1"/>
    <col min="131" max="131" width="23.90625" bestFit="1" customWidth="1"/>
    <col min="132" max="132" width="16.36328125" bestFit="1" customWidth="1"/>
    <col min="133" max="134" width="21.453125" bestFit="1" customWidth="1"/>
    <col min="135" max="136" width="19.90625" bestFit="1" customWidth="1"/>
    <col min="137" max="137" width="15.54296875" bestFit="1" customWidth="1"/>
    <col min="138" max="138" width="10.453125" bestFit="1" customWidth="1"/>
    <col min="139" max="139" width="13.54296875" bestFit="1" customWidth="1"/>
    <col min="140" max="140" width="15.54296875" bestFit="1" customWidth="1"/>
    <col min="141" max="141" width="11.54296875" bestFit="1" customWidth="1"/>
    <col min="142" max="142" width="12.90625" bestFit="1" customWidth="1"/>
    <col min="143" max="143" width="15.26953125" bestFit="1" customWidth="1"/>
    <col min="144" max="144" width="11.54296875" bestFit="1" customWidth="1"/>
    <col min="145" max="145" width="12.90625" bestFit="1" customWidth="1"/>
    <col min="146" max="146" width="15.26953125" bestFit="1" customWidth="1"/>
    <col min="147" max="147" width="11.90625" bestFit="1" customWidth="1"/>
    <col min="148" max="148" width="13.26953125" bestFit="1" customWidth="1"/>
    <col min="149" max="149" width="15.6328125" bestFit="1" customWidth="1"/>
    <col min="150" max="150" width="11.90625" bestFit="1" customWidth="1"/>
    <col min="151" max="151" width="13.26953125" bestFit="1" customWidth="1"/>
    <col min="152" max="152" width="15.6328125" bestFit="1" customWidth="1"/>
    <col min="153" max="153" width="11.90625" bestFit="1" customWidth="1"/>
    <col min="154" max="154" width="13.26953125" bestFit="1" customWidth="1"/>
    <col min="155" max="155" width="15.6328125" bestFit="1" customWidth="1"/>
    <col min="156" max="156" width="11.90625" bestFit="1" customWidth="1"/>
    <col min="157" max="157" width="13.26953125" bestFit="1" customWidth="1"/>
    <col min="158" max="158" width="15.6328125" bestFit="1" customWidth="1"/>
    <col min="159" max="161" width="15.26953125" bestFit="1" customWidth="1"/>
    <col min="162" max="163" width="24.453125" bestFit="1" customWidth="1"/>
    <col min="164" max="165" width="27.7265625" bestFit="1" customWidth="1"/>
    <col min="166" max="166" width="255.6328125" bestFit="1" customWidth="1"/>
    <col min="167" max="167" width="9.453125" bestFit="1" customWidth="1"/>
    <col min="168" max="168" width="15.54296875" bestFit="1" customWidth="1"/>
    <col min="169" max="169" width="11.26953125" bestFit="1" customWidth="1"/>
    <col min="170" max="170" width="14.453125" bestFit="1" customWidth="1"/>
    <col min="171" max="171" width="10.81640625" bestFit="1" customWidth="1"/>
    <col min="172" max="172" width="7.7265625" bestFit="1" customWidth="1"/>
    <col min="173" max="173" width="14.81640625" bestFit="1" customWidth="1"/>
    <col min="174" max="174" width="17.90625" bestFit="1" customWidth="1"/>
    <col min="175" max="175" width="53" bestFit="1" customWidth="1"/>
    <col min="176" max="176" width="8.26953125" bestFit="1" customWidth="1"/>
    <col min="178" max="178" width="14.81640625" bestFit="1" customWidth="1"/>
    <col min="180" max="180" width="6.36328125" bestFit="1" customWidth="1"/>
    <col min="181" max="181" width="9.6328125" bestFit="1" customWidth="1"/>
    <col min="182" max="182" width="11.90625" bestFit="1" customWidth="1"/>
    <col min="183" max="183" width="18.26953125" bestFit="1" customWidth="1"/>
    <col min="184" max="184" width="9.6328125" bestFit="1" customWidth="1"/>
    <col min="185" max="185" width="15.54296875" bestFit="1" customWidth="1"/>
    <col min="186" max="187" width="18.7265625" bestFit="1" customWidth="1"/>
    <col min="188" max="188" width="17.1796875" bestFit="1" customWidth="1"/>
    <col min="189" max="189" width="17.54296875" bestFit="1" customWidth="1"/>
    <col min="190" max="190" width="19.36328125" bestFit="1" customWidth="1"/>
    <col min="191" max="191" width="9.54296875" bestFit="1" customWidth="1"/>
    <col min="192" max="192" width="7.90625" bestFit="1" customWidth="1"/>
    <col min="193" max="194" width="14.54296875" bestFit="1" customWidth="1"/>
    <col min="195" max="196" width="19.7265625" bestFit="1" customWidth="1"/>
    <col min="197" max="198" width="10.90625" bestFit="1" customWidth="1"/>
    <col min="199" max="200" width="19.7265625" bestFit="1" customWidth="1"/>
    <col min="201" max="202" width="14.54296875" bestFit="1" customWidth="1"/>
    <col min="203" max="204" width="19.1796875" bestFit="1" customWidth="1"/>
    <col min="205" max="206" width="20" bestFit="1" customWidth="1"/>
    <col min="207" max="208" width="21.08984375" bestFit="1" customWidth="1"/>
    <col min="209" max="210" width="21.90625" bestFit="1" customWidth="1"/>
    <col min="211" max="212" width="16.1796875" bestFit="1" customWidth="1"/>
    <col min="213" max="214" width="15.08984375" bestFit="1" customWidth="1"/>
    <col min="215" max="216" width="11.54296875" bestFit="1" customWidth="1"/>
    <col min="217" max="217" width="10.453125" bestFit="1" customWidth="1"/>
    <col min="218" max="218" width="15.36328125" bestFit="1" customWidth="1"/>
    <col min="219" max="219" width="5.08984375" bestFit="1" customWidth="1"/>
    <col min="220" max="220" width="10.54296875" bestFit="1" customWidth="1"/>
    <col min="221" max="221" width="14.7265625" bestFit="1" customWidth="1"/>
    <col min="222" max="222" width="13.453125" bestFit="1" customWidth="1"/>
    <col min="223" max="225" width="11.08984375" bestFit="1" customWidth="1"/>
    <col min="226" max="226" width="8.36328125" bestFit="1" customWidth="1"/>
    <col min="227" max="227" width="16.36328125" bestFit="1" customWidth="1"/>
    <col min="228" max="228" width="16.7265625" bestFit="1" customWidth="1"/>
    <col min="229" max="229" width="30.90625" bestFit="1" customWidth="1"/>
    <col min="230" max="230" width="17.81640625" bestFit="1" customWidth="1"/>
    <col min="231" max="231" width="10.54296875" bestFit="1" customWidth="1"/>
    <col min="232" max="232" width="15.54296875" bestFit="1" customWidth="1"/>
    <col min="233" max="233" width="27.36328125" bestFit="1" customWidth="1"/>
    <col min="234" max="234" width="21.08984375" bestFit="1" customWidth="1"/>
    <col min="235" max="235" width="63.26953125" bestFit="1" customWidth="1"/>
    <col min="236" max="236" width="19.36328125" bestFit="1" customWidth="1"/>
    <col min="237" max="237" width="21.453125" bestFit="1" customWidth="1"/>
    <col min="238" max="238" width="167.90625" bestFit="1" customWidth="1"/>
    <col min="239" max="239" width="72.453125" bestFit="1" customWidth="1"/>
    <col min="240" max="241" width="26.7265625" bestFit="1" customWidth="1"/>
    <col min="242" max="243" width="24.36328125" bestFit="1" customWidth="1"/>
    <col min="244" max="244" width="7.7265625" bestFit="1" customWidth="1"/>
    <col min="245" max="247" width="22" bestFit="1" customWidth="1"/>
    <col min="248" max="248" width="75.7265625" bestFit="1" customWidth="1"/>
    <col min="249" max="250" width="111.1796875" bestFit="1" customWidth="1"/>
    <col min="251" max="251" width="27.26953125" bestFit="1" customWidth="1"/>
    <col min="252" max="252" width="19.36328125" bestFit="1" customWidth="1"/>
    <col min="253" max="253" width="19.81640625" bestFit="1" customWidth="1"/>
    <col min="254" max="254" width="14" bestFit="1" customWidth="1"/>
    <col min="255" max="255" width="17.26953125" bestFit="1" customWidth="1"/>
    <col min="256" max="256" width="10.90625" bestFit="1" customWidth="1"/>
    <col min="257" max="257" width="18.26953125" bestFit="1" customWidth="1"/>
    <col min="258" max="258" width="18" bestFit="1" customWidth="1"/>
    <col min="259" max="259" width="17.453125" bestFit="1" customWidth="1"/>
    <col min="260" max="260" width="13.08984375" bestFit="1" customWidth="1"/>
    <col min="261" max="261" width="8.36328125" bestFit="1" customWidth="1"/>
    <col min="262" max="262" width="13" bestFit="1" customWidth="1"/>
    <col min="263" max="263" width="19.54296875" bestFit="1" customWidth="1"/>
    <col min="264" max="264" width="12.54296875" bestFit="1" customWidth="1"/>
    <col min="265" max="265" width="15.36328125" bestFit="1" customWidth="1"/>
    <col min="266" max="266" width="10.08984375" bestFit="1" customWidth="1"/>
    <col min="267" max="267" width="10.26953125" bestFit="1" customWidth="1"/>
    <col min="268" max="268" width="22.453125" bestFit="1" customWidth="1"/>
    <col min="269" max="269" width="20.90625" bestFit="1" customWidth="1"/>
    <col min="270" max="270" width="18.36328125" bestFit="1" customWidth="1"/>
    <col min="271" max="271" width="14.54296875" bestFit="1" customWidth="1"/>
    <col min="272" max="272" width="22.54296875" bestFit="1" customWidth="1"/>
    <col min="273" max="273" width="25.54296875" bestFit="1" customWidth="1"/>
    <col min="274" max="274" width="22.26953125" bestFit="1" customWidth="1"/>
    <col min="275" max="275" width="14.1796875" bestFit="1" customWidth="1"/>
    <col min="276" max="276" width="16.26953125" bestFit="1" customWidth="1"/>
    <col min="277" max="277" width="9.81640625" bestFit="1" customWidth="1"/>
    <col min="278" max="278" width="16.1796875" bestFit="1" customWidth="1"/>
    <col min="279" max="279" width="14.7265625" bestFit="1" customWidth="1"/>
    <col min="280" max="280" width="10.26953125" bestFit="1" customWidth="1"/>
    <col min="281" max="281" width="22.453125" bestFit="1" customWidth="1"/>
    <col min="282" max="282" width="20.90625" bestFit="1" customWidth="1"/>
    <col min="283" max="283" width="18.36328125" bestFit="1" customWidth="1"/>
    <col min="284" max="284" width="14.54296875" bestFit="1" customWidth="1"/>
    <col min="285" max="285" width="22.54296875" bestFit="1" customWidth="1"/>
    <col min="286" max="286" width="25.54296875" bestFit="1" customWidth="1"/>
    <col min="287" max="287" width="22.26953125" bestFit="1" customWidth="1"/>
    <col min="288" max="288" width="14.1796875" bestFit="1" customWidth="1"/>
    <col min="289" max="289" width="16.26953125" bestFit="1" customWidth="1"/>
    <col min="290" max="290" width="9.81640625" bestFit="1" customWidth="1"/>
    <col min="291" max="291" width="16.1796875" bestFit="1" customWidth="1"/>
    <col min="292" max="292" width="14.7265625" bestFit="1" customWidth="1"/>
    <col min="293" max="293" width="9.7265625" bestFit="1" customWidth="1"/>
    <col min="294" max="294" width="12" bestFit="1" customWidth="1"/>
    <col min="295" max="295" width="22.453125" bestFit="1" customWidth="1"/>
    <col min="296" max="296" width="11.81640625" bestFit="1" customWidth="1"/>
    <col min="297" max="297" width="12.08984375" bestFit="1" customWidth="1"/>
    <col min="298" max="298" width="7.54296875" bestFit="1" customWidth="1"/>
    <col min="299" max="299" width="13.1796875" bestFit="1" customWidth="1"/>
    <col min="300" max="300" width="11.36328125" bestFit="1" customWidth="1"/>
    <col min="301" max="301" width="9.90625" bestFit="1" customWidth="1"/>
    <col min="302" max="302" width="9.26953125" bestFit="1" customWidth="1"/>
    <col min="303" max="303" width="22.26953125" bestFit="1" customWidth="1"/>
    <col min="304" max="304" width="8" bestFit="1" customWidth="1"/>
    <col min="305" max="305" width="22.81640625" bestFit="1" customWidth="1"/>
    <col min="306" max="306" width="14.90625" bestFit="1" customWidth="1"/>
    <col min="307" max="307" width="16.54296875" bestFit="1" customWidth="1"/>
    <col min="308" max="308" width="8.54296875" bestFit="1" customWidth="1"/>
    <col min="309" max="309" width="14.08984375" bestFit="1" customWidth="1"/>
    <col min="310" max="310" width="7.1796875" bestFit="1" customWidth="1"/>
    <col min="311" max="311" width="15.54296875" bestFit="1" customWidth="1"/>
    <col min="312" max="312" width="15.36328125" bestFit="1" customWidth="1"/>
    <col min="313" max="313" width="19.81640625" bestFit="1" customWidth="1"/>
    <col min="314" max="314" width="18.81640625" bestFit="1" customWidth="1"/>
    <col min="315" max="315" width="15.1796875" bestFit="1" customWidth="1"/>
    <col min="316" max="316" width="15.7265625" bestFit="1" customWidth="1"/>
    <col min="317" max="317" width="11.81640625" bestFit="1" customWidth="1"/>
    <col min="318" max="318" width="14.7265625" bestFit="1" customWidth="1"/>
    <col min="319" max="319" width="10.36328125" bestFit="1" customWidth="1"/>
    <col min="320" max="320" width="17.54296875" bestFit="1" customWidth="1"/>
    <col min="321" max="321" width="12.26953125" bestFit="1" customWidth="1"/>
    <col min="322" max="322" width="13.81640625" bestFit="1" customWidth="1"/>
    <col min="323" max="323" width="13.6328125" bestFit="1" customWidth="1"/>
    <col min="324" max="324" width="20.08984375" bestFit="1" customWidth="1"/>
    <col min="325" max="325" width="23.1796875" bestFit="1" customWidth="1"/>
    <col min="326" max="326" width="16.1796875" bestFit="1" customWidth="1"/>
    <col min="327" max="327" width="17.08984375" bestFit="1" customWidth="1"/>
    <col min="328" max="328" width="16.1796875" bestFit="1" customWidth="1"/>
    <col min="329" max="329" width="23.453125" bestFit="1" customWidth="1"/>
    <col min="330" max="330" width="21.08984375" bestFit="1" customWidth="1"/>
    <col min="331" max="331" width="11.26953125" bestFit="1" customWidth="1"/>
    <col min="332" max="332" width="19.90625" bestFit="1" customWidth="1"/>
    <col min="333" max="333" width="17.36328125" bestFit="1" customWidth="1"/>
    <col min="334" max="334" width="15.36328125" bestFit="1" customWidth="1"/>
    <col min="335" max="335" width="24.7265625" bestFit="1" customWidth="1"/>
    <col min="336" max="336" width="21.08984375" bestFit="1" customWidth="1"/>
    <col min="337" max="337" width="20.7265625" bestFit="1" customWidth="1"/>
    <col min="338" max="338" width="19.1796875" bestFit="1" customWidth="1"/>
    <col min="339" max="339" width="17.36328125" bestFit="1" customWidth="1"/>
    <col min="340" max="340" width="17.7265625" bestFit="1" customWidth="1"/>
    <col min="341" max="341" width="20.7265625" bestFit="1" customWidth="1"/>
    <col min="342" max="342" width="13" bestFit="1" customWidth="1"/>
    <col min="343" max="343" width="18.54296875" bestFit="1" customWidth="1"/>
    <col min="344" max="344" width="18.26953125" bestFit="1" customWidth="1"/>
    <col min="345" max="345" width="19.81640625" bestFit="1" customWidth="1"/>
    <col min="346" max="346" width="19.7265625" bestFit="1" customWidth="1"/>
    <col min="347" max="347" width="24.26953125" bestFit="1" customWidth="1"/>
    <col min="348" max="348" width="16.54296875" bestFit="1" customWidth="1"/>
    <col min="349" max="349" width="20.81640625" bestFit="1" customWidth="1"/>
    <col min="350" max="350" width="24.26953125" bestFit="1" customWidth="1"/>
    <col min="351" max="351" width="24" bestFit="1" customWidth="1"/>
    <col min="352" max="352" width="20.36328125" bestFit="1" customWidth="1"/>
    <col min="353" max="353" width="21.6328125" bestFit="1" customWidth="1"/>
    <col min="354" max="354" width="18.1796875" bestFit="1" customWidth="1"/>
    <col min="355" max="355" width="16.36328125" bestFit="1" customWidth="1"/>
    <col min="356" max="356" width="14.90625" bestFit="1" customWidth="1"/>
    <col min="357" max="357" width="14.26953125" bestFit="1" customWidth="1"/>
    <col min="358" max="358" width="27.26953125" bestFit="1" customWidth="1"/>
    <col min="359" max="359" width="13" bestFit="1" customWidth="1"/>
    <col min="360" max="360" width="27.81640625" bestFit="1" customWidth="1"/>
    <col min="361" max="361" width="19.90625" bestFit="1" customWidth="1"/>
    <col min="362" max="362" width="21.6328125" bestFit="1" customWidth="1"/>
    <col min="363" max="363" width="13.54296875" bestFit="1" customWidth="1"/>
    <col min="364" max="364" width="19.08984375" bestFit="1" customWidth="1"/>
    <col min="365" max="365" width="12.08984375" bestFit="1" customWidth="1"/>
    <col min="366" max="366" width="20.54296875" bestFit="1" customWidth="1"/>
    <col min="367" max="367" width="20.36328125" bestFit="1" customWidth="1"/>
    <col min="368" max="368" width="24.81640625" bestFit="1" customWidth="1"/>
    <col min="369" max="369" width="23.81640625" bestFit="1" customWidth="1"/>
    <col min="370" max="370" width="20.1796875" bestFit="1" customWidth="1"/>
    <col min="371" max="371" width="20.7265625" bestFit="1" customWidth="1"/>
    <col min="372" max="372" width="16.81640625" bestFit="1" customWidth="1"/>
    <col min="373" max="373" width="19.7265625" bestFit="1" customWidth="1"/>
    <col min="374" max="374" width="15.36328125" bestFit="1" customWidth="1"/>
    <col min="375" max="375" width="22.54296875" bestFit="1" customWidth="1"/>
    <col min="376" max="376" width="17.36328125" bestFit="1" customWidth="1"/>
    <col min="377" max="377" width="18.81640625" bestFit="1" customWidth="1"/>
    <col min="378" max="378" width="18.6328125" bestFit="1" customWidth="1"/>
    <col min="379" max="379" width="25.1796875" bestFit="1" customWidth="1"/>
    <col min="380" max="380" width="28.1796875" bestFit="1" customWidth="1"/>
    <col min="381" max="381" width="21.26953125" bestFit="1" customWidth="1"/>
    <col min="382" max="382" width="22.08984375" bestFit="1" customWidth="1"/>
    <col min="383" max="383" width="21.26953125" bestFit="1" customWidth="1"/>
    <col min="384" max="384" width="28.453125" bestFit="1" customWidth="1"/>
    <col min="385" max="385" width="26.08984375" bestFit="1" customWidth="1"/>
    <col min="386" max="386" width="16.26953125" bestFit="1" customWidth="1"/>
    <col min="387" max="387" width="24.90625" bestFit="1" customWidth="1"/>
    <col min="388" max="388" width="22.36328125" bestFit="1" customWidth="1"/>
    <col min="389" max="389" width="20.36328125" bestFit="1" customWidth="1"/>
    <col min="390" max="390" width="29.81640625" bestFit="1" customWidth="1"/>
    <col min="391" max="391" width="26.08984375" bestFit="1" customWidth="1"/>
    <col min="392" max="392" width="25.81640625" bestFit="1" customWidth="1"/>
    <col min="393" max="393" width="24.1796875" bestFit="1" customWidth="1"/>
    <col min="394" max="394" width="22.36328125" bestFit="1" customWidth="1"/>
    <col min="395" max="395" width="22.7265625" bestFit="1" customWidth="1"/>
    <col min="396" max="396" width="25.81640625" bestFit="1" customWidth="1"/>
    <col min="397" max="397" width="18" bestFit="1" customWidth="1"/>
    <col min="398" max="398" width="23.54296875" bestFit="1" customWidth="1"/>
    <col min="399" max="399" width="23.26953125" bestFit="1" customWidth="1"/>
    <col min="400" max="400" width="24.81640625" bestFit="1" customWidth="1"/>
    <col min="401" max="401" width="24.7265625" bestFit="1" customWidth="1"/>
    <col min="402" max="402" width="29.36328125" bestFit="1" customWidth="1"/>
    <col min="403" max="403" width="21.6328125" bestFit="1" customWidth="1"/>
    <col min="404" max="404" width="25.90625" bestFit="1" customWidth="1"/>
    <col min="405" max="405" width="29.36328125" bestFit="1" customWidth="1"/>
    <col min="406" max="406" width="29" bestFit="1" customWidth="1"/>
    <col min="407" max="407" width="25.453125" bestFit="1" customWidth="1"/>
    <col min="408" max="408" width="26.6328125" bestFit="1" customWidth="1"/>
    <col min="409" max="409" width="20.6328125" bestFit="1" customWidth="1"/>
    <col min="410" max="410" width="20.08984375" bestFit="1" customWidth="1"/>
    <col min="411" max="411" width="23" bestFit="1" customWidth="1"/>
    <col min="412" max="412" width="20.1796875" bestFit="1" customWidth="1"/>
    <col min="413" max="413" width="19.54296875" bestFit="1" customWidth="1"/>
    <col min="414" max="415" width="19.453125" bestFit="1" customWidth="1"/>
    <col min="416" max="416" width="16.26953125" bestFit="1" customWidth="1"/>
    <col min="417" max="417" width="16.7265625" bestFit="1" customWidth="1"/>
    <col min="418" max="418" width="14.90625" bestFit="1" customWidth="1"/>
    <col min="419" max="419" width="11.453125" bestFit="1" customWidth="1"/>
    <col min="420" max="420" width="15.54296875" bestFit="1" customWidth="1"/>
    <col min="421" max="421" width="20.08984375" bestFit="1" customWidth="1"/>
    <col min="422" max="422" width="19.1796875" bestFit="1" customWidth="1"/>
    <col min="423" max="424" width="13.453125" bestFit="1" customWidth="1"/>
    <col min="425" max="425" width="13.26953125" bestFit="1" customWidth="1"/>
    <col min="426" max="426" width="18.453125" bestFit="1" customWidth="1"/>
    <col min="427" max="427" width="23.1796875" bestFit="1" customWidth="1"/>
    <col min="428" max="428" width="15" bestFit="1" customWidth="1"/>
    <col min="429" max="429" width="20.6328125" bestFit="1" customWidth="1"/>
    <col min="430" max="430" width="10.36328125" bestFit="1" customWidth="1"/>
    <col min="431" max="431" width="14.54296875" bestFit="1" customWidth="1"/>
    <col min="432" max="432" width="17.6328125" bestFit="1" customWidth="1"/>
    <col min="433" max="433" width="12.54296875" bestFit="1" customWidth="1"/>
    <col min="434" max="434" width="16.6328125" bestFit="1" customWidth="1"/>
    <col min="435" max="435" width="17.36328125" bestFit="1" customWidth="1"/>
    <col min="436" max="436" width="15.54296875" bestFit="1" customWidth="1"/>
    <col min="437" max="437" width="28.1796875" bestFit="1" customWidth="1"/>
    <col min="438" max="438" width="11.08984375" bestFit="1" customWidth="1"/>
    <col min="439" max="439" width="16.81640625" bestFit="1" customWidth="1"/>
    <col min="440" max="440" width="21.08984375" bestFit="1" customWidth="1"/>
    <col min="441" max="441" width="10.7265625" bestFit="1" customWidth="1"/>
    <col min="442" max="442" width="20.453125" bestFit="1" customWidth="1"/>
    <col min="443" max="443" width="13" bestFit="1" customWidth="1"/>
    <col min="444" max="444" width="28.54296875" bestFit="1" customWidth="1"/>
    <col min="445" max="445" width="23.36328125" bestFit="1" customWidth="1"/>
    <col min="446" max="446" width="19.81640625" bestFit="1" customWidth="1"/>
    <col min="447" max="447" width="17.7265625" bestFit="1" customWidth="1"/>
    <col min="448" max="448" width="16.54296875" bestFit="1" customWidth="1"/>
    <col min="449" max="449" width="16.81640625" bestFit="1" customWidth="1"/>
    <col min="450" max="450" width="20.90625" bestFit="1" customWidth="1"/>
    <col min="451" max="451" width="21.1796875" bestFit="1" customWidth="1"/>
    <col min="452" max="452" width="20.54296875" bestFit="1" customWidth="1"/>
    <col min="453" max="453" width="14.1796875" bestFit="1" customWidth="1"/>
    <col min="454" max="454" width="24.453125" bestFit="1" customWidth="1"/>
    <col min="455" max="455" width="13.6328125" bestFit="1" customWidth="1"/>
    <col min="456" max="456" width="22.1796875" bestFit="1" customWidth="1"/>
    <col min="457" max="457" width="17.08984375" bestFit="1" customWidth="1"/>
    <col min="458" max="458" width="16.6328125" bestFit="1" customWidth="1"/>
    <col min="459" max="459" width="7.90625" bestFit="1" customWidth="1"/>
    <col min="460" max="460" width="9.54296875" bestFit="1" customWidth="1"/>
    <col min="461" max="461" width="16.1796875" bestFit="1" customWidth="1"/>
    <col min="462" max="462" width="15.90625" bestFit="1" customWidth="1"/>
    <col min="463" max="463" width="8.26953125" bestFit="1" customWidth="1"/>
    <col min="464" max="464" width="13.6328125" bestFit="1" customWidth="1"/>
    <col min="465" max="465" width="9.81640625" bestFit="1" customWidth="1"/>
    <col min="466" max="466" width="7.90625" bestFit="1" customWidth="1"/>
    <col min="467" max="467" width="13" bestFit="1" customWidth="1"/>
    <col min="468" max="468" width="20.26953125" bestFit="1" customWidth="1"/>
    <col min="469" max="470" width="20.1796875" bestFit="1" customWidth="1"/>
    <col min="471" max="471" width="16.7265625" bestFit="1" customWidth="1"/>
    <col min="472" max="472" width="19.1796875" bestFit="1" customWidth="1"/>
    <col min="473" max="473" width="13.81640625" bestFit="1" customWidth="1"/>
    <col min="474" max="474" width="18" bestFit="1" customWidth="1"/>
    <col min="475" max="475" width="12.08984375" bestFit="1" customWidth="1"/>
    <col min="476" max="476" width="17.1796875" bestFit="1" customWidth="1"/>
    <col min="477" max="477" width="12.6328125" bestFit="1" customWidth="1"/>
    <col min="478" max="478" width="18" bestFit="1" customWidth="1"/>
    <col min="479" max="479" width="8.90625" bestFit="1" customWidth="1"/>
    <col min="480" max="480" width="21.81640625" bestFit="1" customWidth="1"/>
    <col min="481" max="481" width="17.08984375" bestFit="1" customWidth="1"/>
    <col min="482" max="482" width="12.1796875" bestFit="1" customWidth="1"/>
    <col min="483" max="483" width="13.6328125" bestFit="1" customWidth="1"/>
    <col min="484" max="484" width="15.6328125" bestFit="1" customWidth="1"/>
    <col min="485" max="485" width="14.6328125" bestFit="1" customWidth="1"/>
    <col min="486" max="486" width="18.81640625" bestFit="1" customWidth="1"/>
    <col min="487" max="487" width="12.90625" bestFit="1" customWidth="1"/>
    <col min="488" max="488" width="23.6328125" bestFit="1" customWidth="1"/>
    <col min="489" max="489" width="20.6328125" bestFit="1" customWidth="1"/>
    <col min="490" max="490" width="18.36328125" bestFit="1" customWidth="1"/>
    <col min="491" max="491" width="19.90625" bestFit="1" customWidth="1"/>
    <col min="492" max="492" width="22" bestFit="1" customWidth="1"/>
    <col min="493" max="493" width="21.08984375" bestFit="1" customWidth="1"/>
    <col min="494" max="494" width="27.26953125" bestFit="1" customWidth="1"/>
    <col min="495" max="495" width="21.90625" bestFit="1" customWidth="1"/>
    <col min="496" max="497" width="19.7265625" bestFit="1" customWidth="1"/>
    <col min="498" max="498" width="19.1796875" bestFit="1" customWidth="1"/>
    <col min="499" max="499" width="17.90625" bestFit="1" customWidth="1"/>
    <col min="500" max="500" width="7.54296875" bestFit="1" customWidth="1"/>
    <col min="501" max="501" width="14.26953125" bestFit="1" customWidth="1"/>
    <col min="502" max="502" width="18.36328125" bestFit="1" customWidth="1"/>
    <col min="503" max="503" width="9.7265625" bestFit="1" customWidth="1"/>
    <col min="504" max="504" width="12.6328125" bestFit="1" customWidth="1"/>
    <col min="505" max="505" width="15.54296875" bestFit="1" customWidth="1"/>
    <col min="506" max="506" width="6" bestFit="1" customWidth="1"/>
    <col min="507" max="507" width="5.26953125" bestFit="1" customWidth="1"/>
    <col min="508" max="508" width="4.08984375" bestFit="1" customWidth="1"/>
    <col min="509" max="509" width="5" bestFit="1" customWidth="1"/>
    <col min="510" max="510" width="5.1796875" bestFit="1" customWidth="1"/>
    <col min="511" max="511" width="4.54296875" bestFit="1" customWidth="1"/>
    <col min="512" max="512" width="4.81640625" bestFit="1" customWidth="1"/>
    <col min="513" max="513" width="4.26953125" bestFit="1" customWidth="1"/>
    <col min="514" max="514" width="4.6328125" bestFit="1" customWidth="1"/>
    <col min="515" max="515" width="5.81640625" bestFit="1" customWidth="1"/>
    <col min="516" max="516" width="9.90625" bestFit="1" customWidth="1"/>
    <col min="517" max="517" width="10.26953125" bestFit="1" customWidth="1"/>
    <col min="518" max="518" width="7.81640625" bestFit="1" customWidth="1"/>
    <col min="519" max="519" width="7.7265625" bestFit="1" customWidth="1"/>
    <col min="520" max="521" width="5.81640625" bestFit="1" customWidth="1"/>
    <col min="522" max="523" width="6.81640625" bestFit="1" customWidth="1"/>
    <col min="524" max="530" width="5.81640625" bestFit="1" customWidth="1"/>
    <col min="531" max="531" width="7.81640625" bestFit="1" customWidth="1"/>
    <col min="532" max="532" width="5.81640625" bestFit="1" customWidth="1"/>
    <col min="533" max="539" width="6.81640625" bestFit="1" customWidth="1"/>
    <col min="540" max="540" width="2.08984375" bestFit="1" customWidth="1"/>
    <col min="541" max="542" width="6.81640625" bestFit="1" customWidth="1"/>
    <col min="543" max="543" width="2.1796875" bestFit="1" customWidth="1"/>
    <col min="544" max="544" width="3.08984375" bestFit="1" customWidth="1"/>
    <col min="545" max="545" width="2.6328125" bestFit="1" customWidth="1"/>
    <col min="546" max="546" width="2.81640625" bestFit="1" customWidth="1"/>
    <col min="547" max="547" width="1.81640625" bestFit="1" customWidth="1"/>
    <col min="548" max="548" width="3.453125" bestFit="1" customWidth="1"/>
    <col min="549" max="549" width="2.90625" bestFit="1" customWidth="1"/>
    <col min="550" max="550" width="9.26953125" bestFit="1" customWidth="1"/>
    <col min="551" max="551" width="10.26953125" bestFit="1" customWidth="1"/>
    <col min="552" max="552" width="4.81640625" bestFit="1" customWidth="1"/>
    <col min="553" max="553" width="4.6328125" bestFit="1" customWidth="1"/>
    <col min="554" max="554" width="7.81640625" bestFit="1" customWidth="1"/>
    <col min="555" max="555" width="4.81640625" bestFit="1" customWidth="1"/>
    <col min="556" max="556" width="6.81640625" bestFit="1" customWidth="1"/>
    <col min="557" max="557" width="5.54296875" bestFit="1" customWidth="1"/>
    <col min="558" max="558" width="8.54296875" bestFit="1" customWidth="1"/>
    <col min="559" max="559" width="7.7265625" bestFit="1" customWidth="1"/>
    <col min="560" max="560" width="12.36328125" bestFit="1" customWidth="1"/>
    <col min="561" max="561" width="6.81640625" bestFit="1" customWidth="1"/>
    <col min="562" max="563" width="5.54296875" bestFit="1" customWidth="1"/>
    <col min="564" max="564" width="17.7265625" bestFit="1" customWidth="1"/>
  </cols>
  <sheetData>
    <row r="1" spans="1:56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</row>
    <row r="2" spans="1:564" x14ac:dyDescent="0.35">
      <c r="A2">
        <v>28439</v>
      </c>
      <c r="B2">
        <v>18474</v>
      </c>
      <c r="C2">
        <v>850</v>
      </c>
      <c r="D2">
        <v>26129</v>
      </c>
      <c r="G2" t="s">
        <v>614</v>
      </c>
      <c r="H2">
        <v>500000</v>
      </c>
      <c r="L2" t="s">
        <v>586</v>
      </c>
      <c r="M2">
        <v>74.8</v>
      </c>
      <c r="N2">
        <v>278</v>
      </c>
      <c r="O2" t="s">
        <v>596</v>
      </c>
      <c r="P2">
        <v>6</v>
      </c>
      <c r="S2" s="1">
        <v>46106.893587962964</v>
      </c>
      <c r="U2">
        <v>60</v>
      </c>
      <c r="W2">
        <v>30</v>
      </c>
      <c r="X2">
        <v>495910</v>
      </c>
      <c r="Y2" s="1">
        <v>46106.957037037035</v>
      </c>
      <c r="AB2">
        <v>77589</v>
      </c>
      <c r="AC2">
        <v>258</v>
      </c>
      <c r="AD2">
        <v>1066</v>
      </c>
      <c r="AE2">
        <v>202760</v>
      </c>
      <c r="AF2">
        <v>0.05</v>
      </c>
      <c r="AG2">
        <v>698</v>
      </c>
      <c r="AH2">
        <v>2932</v>
      </c>
      <c r="AI2">
        <v>0.04</v>
      </c>
      <c r="AJ2">
        <v>871</v>
      </c>
      <c r="AK2">
        <v>2985</v>
      </c>
      <c r="AL2">
        <v>21</v>
      </c>
      <c r="AM2" t="s">
        <v>746</v>
      </c>
      <c r="AN2" t="s">
        <v>747</v>
      </c>
      <c r="AO2" s="1">
        <v>46106.978078703702</v>
      </c>
      <c r="AP2">
        <v>2</v>
      </c>
      <c r="AS2" s="1">
        <v>46106.958564814813</v>
      </c>
      <c r="AT2" s="1">
        <v>46107.01</v>
      </c>
      <c r="AU2">
        <v>24</v>
      </c>
      <c r="AV2">
        <v>62</v>
      </c>
      <c r="AY2">
        <v>488209</v>
      </c>
      <c r="AZ2">
        <v>476470</v>
      </c>
      <c r="BA2">
        <v>2250</v>
      </c>
      <c r="BB2">
        <v>2851</v>
      </c>
      <c r="BC2">
        <v>2867</v>
      </c>
      <c r="BD2">
        <v>0</v>
      </c>
      <c r="BG2" s="1">
        <v>46107.010520833333</v>
      </c>
      <c r="BH2" s="1">
        <v>46107.018182870372</v>
      </c>
      <c r="BI2" s="1">
        <v>46107.062175925923</v>
      </c>
      <c r="BJ2" s="1">
        <v>46107.112199074072</v>
      </c>
      <c r="BK2">
        <v>1.1000000000000001</v>
      </c>
      <c r="BM2">
        <v>4115</v>
      </c>
      <c r="BS2" t="s">
        <v>748</v>
      </c>
      <c r="BT2" s="1">
        <v>46107.021655092591</v>
      </c>
      <c r="BU2" s="1">
        <v>46107.07234953704</v>
      </c>
      <c r="BV2" t="b">
        <v>0</v>
      </c>
      <c r="BX2">
        <v>3</v>
      </c>
      <c r="BY2" t="b">
        <v>0</v>
      </c>
      <c r="CD2">
        <v>0.9</v>
      </c>
      <c r="CF2" s="1">
        <v>46106.479259259257</v>
      </c>
      <c r="CG2" t="b">
        <v>0</v>
      </c>
      <c r="CH2" t="b">
        <v>0</v>
      </c>
      <c r="CI2" t="b">
        <v>0</v>
      </c>
      <c r="CJ2" t="b">
        <v>0</v>
      </c>
      <c r="CK2" t="b">
        <v>0</v>
      </c>
      <c r="CL2" t="b">
        <v>0</v>
      </c>
      <c r="CM2" t="b">
        <v>0</v>
      </c>
      <c r="CN2" t="b">
        <v>0</v>
      </c>
      <c r="CP2">
        <v>6</v>
      </c>
      <c r="CR2">
        <v>2</v>
      </c>
      <c r="CS2">
        <v>2813</v>
      </c>
      <c r="CT2">
        <v>2809</v>
      </c>
      <c r="CU2">
        <v>2809</v>
      </c>
      <c r="CZ2">
        <v>6.5</v>
      </c>
      <c r="DA2">
        <v>6.74</v>
      </c>
      <c r="DB2">
        <v>7.82</v>
      </c>
      <c r="DC2">
        <v>7.81</v>
      </c>
      <c r="DH2">
        <v>4441</v>
      </c>
      <c r="DI2">
        <v>4455</v>
      </c>
      <c r="DJ2">
        <v>417</v>
      </c>
      <c r="DK2">
        <v>415</v>
      </c>
      <c r="DP2">
        <v>4438</v>
      </c>
      <c r="DQ2">
        <v>4451</v>
      </c>
      <c r="DR2">
        <v>416</v>
      </c>
      <c r="DS2">
        <v>417</v>
      </c>
      <c r="DX2">
        <v>4445</v>
      </c>
      <c r="DY2">
        <v>4453</v>
      </c>
      <c r="DZ2">
        <v>416</v>
      </c>
      <c r="EA2">
        <v>416</v>
      </c>
      <c r="EB2" s="1">
        <v>46107.112476851849</v>
      </c>
      <c r="EG2" s="1">
        <v>46107.112199074072</v>
      </c>
      <c r="EJ2" s="1">
        <v>46107.347048611111</v>
      </c>
      <c r="EQ2">
        <v>16.850000000000001</v>
      </c>
      <c r="ER2">
        <v>2</v>
      </c>
      <c r="ES2">
        <v>2851</v>
      </c>
      <c r="ET2">
        <v>0</v>
      </c>
      <c r="EU2">
        <v>0</v>
      </c>
      <c r="EV2">
        <v>2908</v>
      </c>
      <c r="EW2">
        <v>17.350000000000001</v>
      </c>
      <c r="EX2">
        <v>2</v>
      </c>
      <c r="EY2">
        <v>2912</v>
      </c>
      <c r="EZ2">
        <v>34.31</v>
      </c>
      <c r="FA2">
        <v>1</v>
      </c>
      <c r="FB2">
        <v>2888</v>
      </c>
      <c r="FC2">
        <v>6.3</v>
      </c>
      <c r="FJ2" t="s">
        <v>749</v>
      </c>
      <c r="FK2">
        <v>114</v>
      </c>
      <c r="FL2" s="1">
        <v>46107.346828703703</v>
      </c>
      <c r="FM2">
        <v>174</v>
      </c>
      <c r="FN2" t="s">
        <v>615</v>
      </c>
      <c r="FO2" t="s">
        <v>615</v>
      </c>
      <c r="FP2">
        <v>174</v>
      </c>
      <c r="FQ2" t="s">
        <v>615</v>
      </c>
      <c r="FR2" t="s">
        <v>615</v>
      </c>
      <c r="FS2" t="s">
        <v>616</v>
      </c>
      <c r="FT2" t="s">
        <v>580</v>
      </c>
      <c r="FV2" t="s">
        <v>573</v>
      </c>
      <c r="FW2" t="b">
        <v>0</v>
      </c>
      <c r="GA2" t="s">
        <v>750</v>
      </c>
      <c r="GB2">
        <v>18474</v>
      </c>
      <c r="GC2" s="1">
        <v>46107.021655092591</v>
      </c>
      <c r="GD2" t="s">
        <v>590</v>
      </c>
      <c r="GE2" t="s">
        <v>626</v>
      </c>
      <c r="GF2">
        <v>92</v>
      </c>
      <c r="GG2">
        <v>74</v>
      </c>
      <c r="GH2">
        <v>72</v>
      </c>
      <c r="GI2" t="s">
        <v>565</v>
      </c>
      <c r="GJ2">
        <v>247.96</v>
      </c>
      <c r="GL2">
        <v>2379</v>
      </c>
      <c r="GN2" t="s">
        <v>627</v>
      </c>
      <c r="GP2">
        <v>2379</v>
      </c>
      <c r="GR2" t="s">
        <v>627</v>
      </c>
      <c r="HI2" s="2">
        <v>46107</v>
      </c>
      <c r="HJ2" t="s">
        <v>575</v>
      </c>
      <c r="HK2" t="s">
        <v>576</v>
      </c>
      <c r="HM2">
        <v>6</v>
      </c>
      <c r="HN2">
        <v>2</v>
      </c>
      <c r="HV2">
        <v>1</v>
      </c>
      <c r="HW2" t="b">
        <v>0</v>
      </c>
      <c r="IB2">
        <v>2860</v>
      </c>
      <c r="IJ2">
        <v>2760</v>
      </c>
      <c r="IK2">
        <v>53</v>
      </c>
      <c r="IL2">
        <v>49</v>
      </c>
      <c r="IM2">
        <v>49</v>
      </c>
      <c r="IN2" t="s">
        <v>594</v>
      </c>
      <c r="IO2" t="s">
        <v>619</v>
      </c>
      <c r="IP2" t="s">
        <v>619</v>
      </c>
      <c r="IR2">
        <v>6</v>
      </c>
      <c r="IT2" t="s">
        <v>628</v>
      </c>
      <c r="IV2">
        <v>28439</v>
      </c>
      <c r="IW2">
        <v>28435</v>
      </c>
      <c r="IX2">
        <v>28446</v>
      </c>
      <c r="IY2">
        <v>240.498932</v>
      </c>
      <c r="IZ2">
        <v>0</v>
      </c>
      <c r="JA2">
        <v>1.1000000000000001</v>
      </c>
      <c r="JB2">
        <v>0</v>
      </c>
      <c r="JC2">
        <v>1.202494</v>
      </c>
      <c r="JD2">
        <v>241.701426</v>
      </c>
      <c r="JE2">
        <v>242.80142599999999</v>
      </c>
      <c r="JF2">
        <v>99.051599999999993</v>
      </c>
      <c r="JG2">
        <v>0</v>
      </c>
      <c r="JH2">
        <v>0</v>
      </c>
      <c r="JI2">
        <v>0</v>
      </c>
      <c r="JJ2">
        <v>0</v>
      </c>
      <c r="JK2">
        <v>0</v>
      </c>
      <c r="JL2">
        <v>74.8</v>
      </c>
      <c r="JM2">
        <v>9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9</v>
      </c>
      <c r="JU2">
        <v>0</v>
      </c>
      <c r="JV2">
        <v>0</v>
      </c>
      <c r="JW2">
        <v>480997.86570000002</v>
      </c>
      <c r="JX2">
        <v>2502</v>
      </c>
      <c r="JY2">
        <v>74.8</v>
      </c>
      <c r="JZ2">
        <v>9.0625</v>
      </c>
      <c r="KA2">
        <v>0</v>
      </c>
      <c r="KB2">
        <v>240.498932</v>
      </c>
      <c r="KC2">
        <v>1.202494</v>
      </c>
      <c r="KD2">
        <v>0</v>
      </c>
      <c r="KE2">
        <v>0</v>
      </c>
      <c r="KF2">
        <v>0</v>
      </c>
      <c r="KG2">
        <v>1.1000000000000001</v>
      </c>
      <c r="KH2">
        <v>0</v>
      </c>
      <c r="KI2">
        <v>0</v>
      </c>
      <c r="KJ2" t="s">
        <v>615</v>
      </c>
      <c r="KK2">
        <v>0.28360000000000002</v>
      </c>
      <c r="KL2">
        <v>28439</v>
      </c>
      <c r="KM2">
        <v>193780</v>
      </c>
      <c r="KN2">
        <v>45760</v>
      </c>
      <c r="KP2">
        <v>139040</v>
      </c>
      <c r="KX2">
        <v>30520</v>
      </c>
      <c r="LD2">
        <v>50640</v>
      </c>
      <c r="MD2">
        <v>42140</v>
      </c>
      <c r="MP2">
        <v>179998</v>
      </c>
      <c r="MQ2">
        <v>39999</v>
      </c>
      <c r="MS2">
        <v>153511</v>
      </c>
      <c r="MZ2">
        <v>39999</v>
      </c>
      <c r="NP2">
        <v>24999</v>
      </c>
      <c r="OG2">
        <v>39999</v>
      </c>
      <c r="OT2">
        <v>3886</v>
      </c>
      <c r="PA2">
        <v>544</v>
      </c>
      <c r="PB2">
        <v>4077</v>
      </c>
      <c r="PC2">
        <v>369303</v>
      </c>
      <c r="PD2">
        <v>36392</v>
      </c>
      <c r="PE2">
        <v>8028</v>
      </c>
      <c r="PG2">
        <v>2</v>
      </c>
      <c r="PJ2">
        <v>16910</v>
      </c>
      <c r="PM2">
        <v>15089</v>
      </c>
      <c r="PN2">
        <v>1930</v>
      </c>
      <c r="PS2">
        <v>500</v>
      </c>
      <c r="PV2">
        <v>721</v>
      </c>
      <c r="PW2">
        <v>3629</v>
      </c>
      <c r="PX2">
        <v>1303</v>
      </c>
      <c r="PY2">
        <v>7147</v>
      </c>
      <c r="QD2">
        <v>300</v>
      </c>
      <c r="QE2">
        <v>250</v>
      </c>
      <c r="QI2">
        <v>200</v>
      </c>
      <c r="QK2">
        <v>8</v>
      </c>
      <c r="QM2">
        <v>5</v>
      </c>
      <c r="QS2">
        <v>1500</v>
      </c>
      <c r="SE2" s="1">
        <v>46086.322222222225</v>
      </c>
      <c r="SF2">
        <v>28439</v>
      </c>
      <c r="SG2">
        <v>407810</v>
      </c>
      <c r="SH2">
        <v>20</v>
      </c>
      <c r="SI2" t="s">
        <v>567</v>
      </c>
      <c r="SJ2">
        <v>50</v>
      </c>
      <c r="SK2" s="1">
        <v>46107.064803240741</v>
      </c>
      <c r="SZ2">
        <v>0.15</v>
      </c>
      <c r="TA2">
        <v>1.381</v>
      </c>
      <c r="TB2">
        <v>1.03E-2</v>
      </c>
      <c r="TC2">
        <v>1.1000000000000001E-3</v>
      </c>
      <c r="TD2">
        <v>0.22500000000000001</v>
      </c>
      <c r="TE2">
        <v>9.6000000000000002E-2</v>
      </c>
      <c r="TF2">
        <v>6.0999999999999999E-2</v>
      </c>
      <c r="TG2">
        <v>5.8999999999999997E-2</v>
      </c>
      <c r="TH2">
        <v>4.1000000000000002E-2</v>
      </c>
      <c r="TI2">
        <v>3.2000000000000001E-2</v>
      </c>
      <c r="TJ2">
        <v>8.9999999999999993E-3</v>
      </c>
      <c r="TK2">
        <v>4.5352100000000002</v>
      </c>
      <c r="TL2">
        <v>6.3E-2</v>
      </c>
      <c r="TM2">
        <v>2.3999999999999998E-3</v>
      </c>
      <c r="TN2">
        <v>2.3E-3</v>
      </c>
      <c r="TO2">
        <v>8.2000000000000007E-3</v>
      </c>
      <c r="TQ2">
        <v>7.1000000000000004E-3</v>
      </c>
      <c r="TR2" t="s">
        <v>570</v>
      </c>
      <c r="TS2">
        <v>3.6400000000000002E-2</v>
      </c>
      <c r="TU2">
        <v>0.24399999999999999</v>
      </c>
      <c r="TV2">
        <v>4.7000000000000002E-3</v>
      </c>
      <c r="UD2">
        <v>0.42</v>
      </c>
      <c r="UE2">
        <v>0.46060000000000001</v>
      </c>
      <c r="UF2">
        <v>1.1499999999999999</v>
      </c>
      <c r="UH2">
        <v>2.3000000000000001E-4</v>
      </c>
      <c r="UJ2">
        <v>0.2762</v>
      </c>
      <c r="UK2">
        <v>0.17</v>
      </c>
      <c r="UL2">
        <v>0.22</v>
      </c>
      <c r="UM2">
        <v>7.3599999999999999E-2</v>
      </c>
      <c r="UN2">
        <v>0.25700000000000001</v>
      </c>
      <c r="UO2">
        <v>2.9578000000000002</v>
      </c>
      <c r="UP2">
        <v>1.63</v>
      </c>
      <c r="UQ2">
        <v>0.61</v>
      </c>
      <c r="UR2" s="1">
        <v>46086.322222222225</v>
      </c>
    </row>
    <row r="3" spans="1:564" x14ac:dyDescent="0.35">
      <c r="A3">
        <v>28440</v>
      </c>
      <c r="B3">
        <v>18475</v>
      </c>
      <c r="C3">
        <v>850</v>
      </c>
      <c r="D3">
        <v>26129</v>
      </c>
      <c r="G3" t="s">
        <v>614</v>
      </c>
      <c r="H3">
        <v>500000</v>
      </c>
      <c r="L3" t="s">
        <v>586</v>
      </c>
      <c r="M3">
        <v>74.8</v>
      </c>
      <c r="N3">
        <v>278</v>
      </c>
      <c r="O3" t="s">
        <v>596</v>
      </c>
      <c r="P3">
        <v>7</v>
      </c>
      <c r="S3" s="1">
        <v>46106.957037037035</v>
      </c>
      <c r="U3">
        <v>69</v>
      </c>
      <c r="W3">
        <v>12</v>
      </c>
      <c r="X3">
        <v>495910</v>
      </c>
      <c r="Y3" s="1">
        <v>46107.013877314814</v>
      </c>
      <c r="AB3">
        <v>89951</v>
      </c>
      <c r="AC3">
        <v>259</v>
      </c>
      <c r="AD3">
        <v>1067</v>
      </c>
      <c r="AE3">
        <v>175780</v>
      </c>
      <c r="AF3">
        <v>0</v>
      </c>
      <c r="AG3">
        <v>0</v>
      </c>
      <c r="AH3">
        <v>2880</v>
      </c>
      <c r="AI3">
        <v>0.06</v>
      </c>
      <c r="AJ3">
        <v>561</v>
      </c>
      <c r="AK3">
        <v>2952</v>
      </c>
      <c r="AL3">
        <v>2</v>
      </c>
      <c r="AM3" t="s">
        <v>751</v>
      </c>
      <c r="AO3" s="1">
        <v>46107.017847222225</v>
      </c>
      <c r="AP3">
        <v>1</v>
      </c>
      <c r="AS3" s="1">
        <v>46107.017789351848</v>
      </c>
      <c r="AT3" s="1">
        <v>46107.060428240744</v>
      </c>
      <c r="AU3">
        <v>11</v>
      </c>
      <c r="AV3">
        <v>50</v>
      </c>
      <c r="AY3">
        <v>498669</v>
      </c>
      <c r="AZ3">
        <v>489673</v>
      </c>
      <c r="BA3">
        <v>1080</v>
      </c>
      <c r="BB3">
        <v>2919</v>
      </c>
      <c r="BC3">
        <v>2865</v>
      </c>
      <c r="BD3">
        <v>0</v>
      </c>
      <c r="BF3" t="s">
        <v>752</v>
      </c>
      <c r="BG3" s="1">
        <v>46107.061249999999</v>
      </c>
      <c r="BH3" s="1">
        <v>46107.068993055553</v>
      </c>
      <c r="BI3" s="1">
        <v>46107.112222222226</v>
      </c>
      <c r="BJ3" s="1">
        <v>46107.161006944443</v>
      </c>
      <c r="BK3">
        <v>1.1000000000000001</v>
      </c>
      <c r="BM3">
        <v>4115</v>
      </c>
      <c r="BT3" s="1">
        <v>46107.073854166665</v>
      </c>
      <c r="BU3" s="1">
        <v>46107.125937500001</v>
      </c>
      <c r="BV3" t="b">
        <v>0</v>
      </c>
      <c r="BX3">
        <v>3</v>
      </c>
      <c r="BY3" t="b">
        <v>0</v>
      </c>
      <c r="CD3">
        <v>0.9</v>
      </c>
      <c r="CG3" t="b">
        <v>0</v>
      </c>
      <c r="CH3" t="b">
        <v>0</v>
      </c>
      <c r="CI3" t="b">
        <v>0</v>
      </c>
      <c r="CJ3" t="b">
        <v>0</v>
      </c>
      <c r="CK3" t="b">
        <v>0</v>
      </c>
      <c r="CL3" t="b">
        <v>0</v>
      </c>
      <c r="CM3" t="b">
        <v>0</v>
      </c>
      <c r="CN3" t="b">
        <v>0</v>
      </c>
      <c r="CP3">
        <v>6</v>
      </c>
      <c r="CR3">
        <v>2</v>
      </c>
      <c r="CS3">
        <v>2800</v>
      </c>
      <c r="CT3">
        <v>2798</v>
      </c>
      <c r="CU3">
        <v>2799</v>
      </c>
      <c r="CZ3">
        <v>6.16</v>
      </c>
      <c r="DA3">
        <v>6.37</v>
      </c>
      <c r="DB3">
        <v>7.65</v>
      </c>
      <c r="DC3">
        <v>7.32</v>
      </c>
      <c r="DH3">
        <v>4438</v>
      </c>
      <c r="DI3">
        <v>4467</v>
      </c>
      <c r="DJ3">
        <v>417</v>
      </c>
      <c r="DK3">
        <v>416</v>
      </c>
      <c r="DP3">
        <v>4419</v>
      </c>
      <c r="DQ3">
        <v>4473</v>
      </c>
      <c r="DR3">
        <v>417</v>
      </c>
      <c r="DS3">
        <v>416</v>
      </c>
      <c r="DX3">
        <v>4454</v>
      </c>
      <c r="DY3">
        <v>4463</v>
      </c>
      <c r="DZ3">
        <v>418</v>
      </c>
      <c r="EA3">
        <v>415</v>
      </c>
      <c r="EB3" s="1">
        <v>46107.126550925925</v>
      </c>
      <c r="EG3" s="1">
        <v>46107.161006944443</v>
      </c>
      <c r="EJ3" s="1">
        <v>46107.348055555558</v>
      </c>
      <c r="EK3">
        <v>0.04</v>
      </c>
      <c r="EL3">
        <v>955</v>
      </c>
      <c r="EM3">
        <v>3005</v>
      </c>
      <c r="EQ3">
        <v>11.61</v>
      </c>
      <c r="ER3">
        <v>3</v>
      </c>
      <c r="ES3">
        <v>2919</v>
      </c>
      <c r="ET3">
        <v>0</v>
      </c>
      <c r="EU3">
        <v>0</v>
      </c>
      <c r="EV3">
        <v>2889</v>
      </c>
      <c r="EW3">
        <v>0</v>
      </c>
      <c r="EX3">
        <v>0</v>
      </c>
      <c r="EY3">
        <v>2874</v>
      </c>
      <c r="EZ3">
        <v>0</v>
      </c>
      <c r="FA3">
        <v>0</v>
      </c>
      <c r="FB3">
        <v>2865</v>
      </c>
      <c r="FC3">
        <v>6.3</v>
      </c>
      <c r="FJ3" t="s">
        <v>753</v>
      </c>
      <c r="FK3">
        <v>114</v>
      </c>
      <c r="FL3" s="1">
        <v>46107.347870370373</v>
      </c>
      <c r="FM3">
        <v>174</v>
      </c>
      <c r="FN3" t="s">
        <v>615</v>
      </c>
      <c r="FO3" t="s">
        <v>615</v>
      </c>
      <c r="FP3">
        <v>174</v>
      </c>
      <c r="FQ3" t="s">
        <v>615</v>
      </c>
      <c r="FR3" t="s">
        <v>615</v>
      </c>
      <c r="FS3" t="s">
        <v>616</v>
      </c>
      <c r="FT3" t="s">
        <v>564</v>
      </c>
      <c r="FV3" t="s">
        <v>573</v>
      </c>
      <c r="FW3" t="b">
        <v>0</v>
      </c>
      <c r="GA3" t="s">
        <v>754</v>
      </c>
      <c r="GB3">
        <v>18475</v>
      </c>
      <c r="GC3" s="1">
        <v>46107.073854166665</v>
      </c>
      <c r="GD3" t="s">
        <v>590</v>
      </c>
      <c r="GE3" t="s">
        <v>626</v>
      </c>
      <c r="GF3">
        <v>81</v>
      </c>
      <c r="GG3">
        <v>62</v>
      </c>
      <c r="GH3">
        <v>70</v>
      </c>
      <c r="GI3" t="s">
        <v>574</v>
      </c>
      <c r="GJ3">
        <v>247.96</v>
      </c>
      <c r="GL3">
        <v>2379</v>
      </c>
      <c r="GN3" t="s">
        <v>627</v>
      </c>
      <c r="GP3">
        <v>2379</v>
      </c>
      <c r="GR3" t="s">
        <v>627</v>
      </c>
      <c r="HI3" s="2">
        <v>46107</v>
      </c>
      <c r="HJ3" t="s">
        <v>575</v>
      </c>
      <c r="HK3" t="s">
        <v>576</v>
      </c>
      <c r="HM3">
        <v>7</v>
      </c>
      <c r="HN3">
        <v>2</v>
      </c>
      <c r="HV3">
        <v>1</v>
      </c>
      <c r="HW3" t="b">
        <v>0</v>
      </c>
      <c r="IB3">
        <v>2860</v>
      </c>
      <c r="IJ3">
        <v>2760</v>
      </c>
      <c r="IK3">
        <v>40</v>
      </c>
      <c r="IL3">
        <v>38</v>
      </c>
      <c r="IM3">
        <v>39</v>
      </c>
      <c r="IN3" t="s">
        <v>594</v>
      </c>
      <c r="IO3" t="s">
        <v>619</v>
      </c>
      <c r="IP3" t="s">
        <v>619</v>
      </c>
      <c r="IR3">
        <v>7</v>
      </c>
      <c r="IT3" t="s">
        <v>628</v>
      </c>
      <c r="IV3">
        <v>28440</v>
      </c>
      <c r="IW3">
        <v>28435</v>
      </c>
      <c r="IX3">
        <v>28446</v>
      </c>
      <c r="IY3">
        <v>240.498932</v>
      </c>
      <c r="IZ3">
        <v>0</v>
      </c>
      <c r="JA3">
        <v>1.1000000000000001</v>
      </c>
      <c r="JB3">
        <v>0</v>
      </c>
      <c r="JC3">
        <v>1.202494</v>
      </c>
      <c r="JD3">
        <v>241.701426</v>
      </c>
      <c r="JE3">
        <v>242.80142599999999</v>
      </c>
      <c r="JF3">
        <v>99.051599999999993</v>
      </c>
      <c r="JG3">
        <v>0</v>
      </c>
      <c r="JH3">
        <v>0</v>
      </c>
      <c r="JI3">
        <v>0</v>
      </c>
      <c r="JJ3">
        <v>0</v>
      </c>
      <c r="JK3">
        <v>0</v>
      </c>
      <c r="JL3">
        <v>74.8</v>
      </c>
      <c r="JM3">
        <v>9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9</v>
      </c>
      <c r="JU3">
        <v>0</v>
      </c>
      <c r="JV3">
        <v>0</v>
      </c>
      <c r="JW3">
        <v>480997.86570000002</v>
      </c>
      <c r="JX3">
        <v>2502</v>
      </c>
      <c r="JY3">
        <v>74.8</v>
      </c>
      <c r="JZ3">
        <v>9.0625</v>
      </c>
      <c r="KA3">
        <v>0</v>
      </c>
      <c r="KB3">
        <v>240.498932</v>
      </c>
      <c r="KC3">
        <v>1.202494</v>
      </c>
      <c r="KD3">
        <v>0</v>
      </c>
      <c r="KE3">
        <v>0</v>
      </c>
      <c r="KF3">
        <v>0</v>
      </c>
      <c r="KG3">
        <v>1.1000000000000001</v>
      </c>
      <c r="KH3">
        <v>0</v>
      </c>
      <c r="KI3">
        <v>0</v>
      </c>
      <c r="KJ3" t="s">
        <v>615</v>
      </c>
      <c r="KK3">
        <v>0.28360000000000002</v>
      </c>
      <c r="KL3">
        <v>28440</v>
      </c>
      <c r="KM3">
        <v>202220</v>
      </c>
      <c r="KN3">
        <v>39880</v>
      </c>
      <c r="KP3">
        <v>193280</v>
      </c>
      <c r="KX3">
        <v>27300</v>
      </c>
      <c r="LD3">
        <v>50920</v>
      </c>
      <c r="MD3">
        <v>42100</v>
      </c>
      <c r="MP3">
        <v>198445</v>
      </c>
      <c r="MQ3">
        <v>44099</v>
      </c>
      <c r="MS3">
        <v>188987</v>
      </c>
      <c r="MZ3">
        <v>44099</v>
      </c>
      <c r="NP3">
        <v>27561</v>
      </c>
      <c r="OG3">
        <v>44099</v>
      </c>
      <c r="OT3">
        <v>3909</v>
      </c>
      <c r="PA3">
        <v>559</v>
      </c>
      <c r="PB3">
        <v>4064</v>
      </c>
      <c r="PC3">
        <v>414934</v>
      </c>
      <c r="PD3">
        <v>41053</v>
      </c>
      <c r="PE3">
        <v>8855</v>
      </c>
      <c r="PG3">
        <v>3</v>
      </c>
      <c r="PJ3">
        <v>18154</v>
      </c>
      <c r="PM3">
        <v>15477</v>
      </c>
      <c r="PN3">
        <v>1907</v>
      </c>
      <c r="PS3">
        <v>500</v>
      </c>
      <c r="PV3">
        <v>1375</v>
      </c>
      <c r="PX3">
        <v>909</v>
      </c>
      <c r="QK3">
        <v>4</v>
      </c>
      <c r="QM3">
        <v>7</v>
      </c>
      <c r="QS3">
        <v>897</v>
      </c>
      <c r="QX3">
        <v>350</v>
      </c>
      <c r="SE3" s="1">
        <v>46086.322222222225</v>
      </c>
      <c r="SF3">
        <v>28440</v>
      </c>
      <c r="SG3">
        <v>407821</v>
      </c>
      <c r="SH3">
        <v>20</v>
      </c>
      <c r="SI3" t="s">
        <v>567</v>
      </c>
      <c r="SJ3">
        <v>50</v>
      </c>
      <c r="SK3" s="1">
        <v>46107.109305555554</v>
      </c>
      <c r="SZ3">
        <v>0.14000000000000001</v>
      </c>
      <c r="TA3">
        <v>1.357</v>
      </c>
      <c r="TB3">
        <v>1.06E-2</v>
      </c>
      <c r="TC3">
        <v>3.7000000000000002E-3</v>
      </c>
      <c r="TD3">
        <v>0.221</v>
      </c>
      <c r="TE3">
        <v>9.6000000000000002E-2</v>
      </c>
      <c r="TF3">
        <v>5.8000000000000003E-2</v>
      </c>
      <c r="TG3">
        <v>9.2999999999999999E-2</v>
      </c>
      <c r="TH3">
        <v>4.2000000000000003E-2</v>
      </c>
      <c r="TI3">
        <v>3.5000000000000003E-2</v>
      </c>
      <c r="TJ3">
        <v>8.0000000000000002E-3</v>
      </c>
      <c r="TK3">
        <v>4.4050599999999998</v>
      </c>
      <c r="TL3">
        <v>6.3E-2</v>
      </c>
      <c r="TM3">
        <v>2.3999999999999998E-3</v>
      </c>
      <c r="TN3">
        <v>2E-3</v>
      </c>
      <c r="TO3">
        <v>8.0000000000000002E-3</v>
      </c>
      <c r="TQ3">
        <v>7.9000000000000008E-3</v>
      </c>
      <c r="TR3" t="s">
        <v>570</v>
      </c>
      <c r="TS3">
        <v>3.5999999999999997E-2</v>
      </c>
      <c r="TU3">
        <v>0.23380000000000001</v>
      </c>
      <c r="TV3">
        <v>4.7999999999999996E-3</v>
      </c>
      <c r="UD3">
        <v>0.41</v>
      </c>
      <c r="UE3">
        <v>0.44840000000000002</v>
      </c>
      <c r="UF3">
        <v>1.01</v>
      </c>
      <c r="UH3">
        <v>2.7E-4</v>
      </c>
      <c r="UJ3">
        <v>0.30669999999999997</v>
      </c>
      <c r="UK3">
        <v>0.16</v>
      </c>
      <c r="UL3">
        <v>0.25</v>
      </c>
      <c r="UM3">
        <v>7.3400000000000007E-2</v>
      </c>
      <c r="UN3">
        <v>0.28899999999999998</v>
      </c>
      <c r="UO3">
        <v>3.0581</v>
      </c>
      <c r="UP3">
        <v>1.03</v>
      </c>
      <c r="UQ3">
        <v>0.97</v>
      </c>
      <c r="UR3" s="1">
        <v>46086.322222222225</v>
      </c>
    </row>
    <row r="4" spans="1:564" x14ac:dyDescent="0.35">
      <c r="A4">
        <v>28441</v>
      </c>
      <c r="B4">
        <v>18476</v>
      </c>
      <c r="C4">
        <v>850</v>
      </c>
      <c r="D4">
        <v>26129</v>
      </c>
      <c r="G4" t="s">
        <v>614</v>
      </c>
      <c r="H4">
        <v>500000</v>
      </c>
      <c r="L4" t="s">
        <v>586</v>
      </c>
      <c r="M4">
        <v>74.8</v>
      </c>
      <c r="N4">
        <v>278</v>
      </c>
      <c r="O4" t="s">
        <v>596</v>
      </c>
      <c r="P4">
        <v>1</v>
      </c>
      <c r="S4" s="1">
        <v>46107.013877314814</v>
      </c>
      <c r="U4">
        <v>65</v>
      </c>
      <c r="W4">
        <v>10</v>
      </c>
      <c r="X4">
        <v>495910</v>
      </c>
      <c r="Y4" s="1">
        <v>46107.06695601852</v>
      </c>
      <c r="AB4">
        <v>82256</v>
      </c>
      <c r="AC4">
        <v>260</v>
      </c>
      <c r="AD4">
        <v>1068</v>
      </c>
      <c r="AE4">
        <v>187180</v>
      </c>
      <c r="AF4">
        <v>0.05</v>
      </c>
      <c r="AG4">
        <v>699</v>
      </c>
      <c r="AH4">
        <v>2971</v>
      </c>
      <c r="AI4">
        <v>0.03</v>
      </c>
      <c r="AJ4">
        <v>1410</v>
      </c>
      <c r="AK4">
        <v>3079</v>
      </c>
      <c r="AL4">
        <v>1</v>
      </c>
      <c r="AM4" t="s">
        <v>621</v>
      </c>
      <c r="AN4" t="s">
        <v>622</v>
      </c>
      <c r="AO4" s="1">
        <v>46107.077453703707</v>
      </c>
      <c r="AP4">
        <v>2</v>
      </c>
      <c r="AS4" s="1">
        <v>46107.070844907408</v>
      </c>
      <c r="AT4" s="1">
        <v>46107.112534722219</v>
      </c>
      <c r="AU4">
        <v>3</v>
      </c>
      <c r="AV4">
        <v>23</v>
      </c>
      <c r="AY4">
        <v>493065</v>
      </c>
      <c r="AZ4">
        <v>483411</v>
      </c>
      <c r="BA4">
        <v>191860</v>
      </c>
      <c r="BB4">
        <v>3018</v>
      </c>
      <c r="BC4">
        <v>2861</v>
      </c>
      <c r="BD4">
        <v>0</v>
      </c>
      <c r="BG4" s="1">
        <v>46107.113344907404</v>
      </c>
      <c r="BH4" s="1">
        <v>46107.120717592596</v>
      </c>
      <c r="BI4" s="1">
        <v>46107.16101851852</v>
      </c>
      <c r="BJ4" s="1">
        <v>46107.207349537035</v>
      </c>
      <c r="BK4">
        <v>1.1000000000000001</v>
      </c>
      <c r="BM4">
        <v>4115</v>
      </c>
      <c r="BS4" t="s">
        <v>623</v>
      </c>
      <c r="BT4" s="1">
        <v>46107.127662037034</v>
      </c>
      <c r="BU4" s="1">
        <v>46107.178356481483</v>
      </c>
      <c r="BV4" t="b">
        <v>0</v>
      </c>
      <c r="BX4">
        <v>3</v>
      </c>
      <c r="BY4" t="b">
        <v>0</v>
      </c>
      <c r="CD4">
        <v>0.9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0</v>
      </c>
      <c r="CM4" t="b">
        <v>0</v>
      </c>
      <c r="CN4" t="b">
        <v>0</v>
      </c>
      <c r="CP4">
        <v>6</v>
      </c>
      <c r="CR4">
        <v>2</v>
      </c>
      <c r="CS4">
        <v>2799</v>
      </c>
      <c r="CT4">
        <v>2800</v>
      </c>
      <c r="CU4">
        <v>2795</v>
      </c>
      <c r="CZ4">
        <v>6.24</v>
      </c>
      <c r="DA4">
        <v>6.53</v>
      </c>
      <c r="DB4">
        <v>7.7</v>
      </c>
      <c r="DC4">
        <v>7.43</v>
      </c>
      <c r="DH4">
        <v>4438</v>
      </c>
      <c r="DI4">
        <v>4445</v>
      </c>
      <c r="DJ4">
        <v>416</v>
      </c>
      <c r="DK4">
        <v>416</v>
      </c>
      <c r="DP4">
        <v>4453</v>
      </c>
      <c r="DQ4">
        <v>4444</v>
      </c>
      <c r="DR4">
        <v>415</v>
      </c>
      <c r="DS4">
        <v>416</v>
      </c>
      <c r="DX4">
        <v>4461</v>
      </c>
      <c r="DY4">
        <v>4443</v>
      </c>
      <c r="DZ4">
        <v>414</v>
      </c>
      <c r="EA4">
        <v>415</v>
      </c>
      <c r="EB4" s="1">
        <v>46107.179479166669</v>
      </c>
      <c r="EG4" s="1">
        <v>46107.207349537035</v>
      </c>
      <c r="EJ4" s="1">
        <v>46107.517916666664</v>
      </c>
      <c r="EQ4">
        <v>2.0299999999999998</v>
      </c>
      <c r="ER4">
        <v>18</v>
      </c>
      <c r="ES4">
        <v>3018</v>
      </c>
      <c r="ET4">
        <v>0</v>
      </c>
      <c r="EU4">
        <v>0</v>
      </c>
      <c r="EV4">
        <v>2859</v>
      </c>
      <c r="EW4">
        <v>0</v>
      </c>
      <c r="EX4">
        <v>0</v>
      </c>
      <c r="EY4">
        <v>2879</v>
      </c>
      <c r="EZ4">
        <v>0</v>
      </c>
      <c r="FA4">
        <v>0</v>
      </c>
      <c r="FB4">
        <v>2870</v>
      </c>
      <c r="FC4">
        <v>7.8</v>
      </c>
      <c r="FJ4" t="s">
        <v>624</v>
      </c>
      <c r="FK4">
        <v>114</v>
      </c>
      <c r="FL4" s="1">
        <v>46107.517708333333</v>
      </c>
      <c r="FM4">
        <v>174</v>
      </c>
      <c r="FN4" t="s">
        <v>615</v>
      </c>
      <c r="FO4" t="s">
        <v>615</v>
      </c>
      <c r="FP4">
        <v>174</v>
      </c>
      <c r="FQ4" t="s">
        <v>615</v>
      </c>
      <c r="FR4" t="s">
        <v>615</v>
      </c>
      <c r="FS4" t="s">
        <v>616</v>
      </c>
      <c r="FT4" t="s">
        <v>582</v>
      </c>
      <c r="FV4" t="s">
        <v>573</v>
      </c>
      <c r="FW4" t="b">
        <v>0</v>
      </c>
      <c r="GA4" t="s">
        <v>625</v>
      </c>
      <c r="GB4">
        <v>18476</v>
      </c>
      <c r="GC4" s="1">
        <v>46107.127662037034</v>
      </c>
      <c r="GD4" t="s">
        <v>590</v>
      </c>
      <c r="GE4" t="s">
        <v>626</v>
      </c>
      <c r="GF4">
        <v>77</v>
      </c>
      <c r="GG4">
        <v>60</v>
      </c>
      <c r="GH4">
        <v>67</v>
      </c>
      <c r="GI4" t="s">
        <v>565</v>
      </c>
      <c r="GJ4">
        <v>247.96</v>
      </c>
      <c r="GL4">
        <v>2379</v>
      </c>
      <c r="GN4" t="s">
        <v>627</v>
      </c>
      <c r="GP4">
        <v>2379</v>
      </c>
      <c r="GR4" t="s">
        <v>627</v>
      </c>
      <c r="HI4" s="2">
        <v>46107</v>
      </c>
      <c r="HJ4" t="s">
        <v>575</v>
      </c>
      <c r="HK4" t="s">
        <v>576</v>
      </c>
      <c r="HM4">
        <v>8</v>
      </c>
      <c r="HN4">
        <v>2</v>
      </c>
      <c r="HV4">
        <v>1</v>
      </c>
      <c r="HW4" t="b">
        <v>0</v>
      </c>
      <c r="IB4">
        <v>2860</v>
      </c>
      <c r="IJ4">
        <v>2760</v>
      </c>
      <c r="IK4">
        <v>39</v>
      </c>
      <c r="IL4">
        <v>40</v>
      </c>
      <c r="IM4">
        <v>35</v>
      </c>
      <c r="IN4" t="s">
        <v>594</v>
      </c>
      <c r="IO4" t="s">
        <v>619</v>
      </c>
      <c r="IP4" t="s">
        <v>619</v>
      </c>
      <c r="IR4">
        <v>10</v>
      </c>
      <c r="IT4" t="s">
        <v>628</v>
      </c>
      <c r="IV4">
        <v>28441</v>
      </c>
      <c r="IW4">
        <v>28435</v>
      </c>
      <c r="IX4">
        <v>28446</v>
      </c>
      <c r="IY4">
        <v>240.498932</v>
      </c>
      <c r="IZ4">
        <v>0</v>
      </c>
      <c r="JA4">
        <v>1.1000000000000001</v>
      </c>
      <c r="JB4">
        <v>0</v>
      </c>
      <c r="JC4">
        <v>1.202494</v>
      </c>
      <c r="JD4">
        <v>241.701426</v>
      </c>
      <c r="JE4">
        <v>242.80142599999999</v>
      </c>
      <c r="JF4">
        <v>99.051599999999993</v>
      </c>
      <c r="JG4">
        <v>0</v>
      </c>
      <c r="JH4">
        <v>0</v>
      </c>
      <c r="JI4">
        <v>0</v>
      </c>
      <c r="JJ4">
        <v>0</v>
      </c>
      <c r="JK4">
        <v>0</v>
      </c>
      <c r="JL4">
        <v>74.8</v>
      </c>
      <c r="JM4">
        <v>9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9</v>
      </c>
      <c r="JU4">
        <v>0</v>
      </c>
      <c r="JV4">
        <v>0</v>
      </c>
      <c r="JW4">
        <v>480997.86570000002</v>
      </c>
      <c r="JX4">
        <v>2502</v>
      </c>
      <c r="JY4">
        <v>74.8</v>
      </c>
      <c r="JZ4">
        <v>9.0625</v>
      </c>
      <c r="KA4">
        <v>0</v>
      </c>
      <c r="KB4">
        <v>240.498932</v>
      </c>
      <c r="KC4">
        <v>1.202494</v>
      </c>
      <c r="KD4">
        <v>0</v>
      </c>
      <c r="KE4">
        <v>0</v>
      </c>
      <c r="KF4">
        <v>0</v>
      </c>
      <c r="KG4">
        <v>1.1000000000000001</v>
      </c>
      <c r="KH4">
        <v>0</v>
      </c>
      <c r="KI4">
        <v>0</v>
      </c>
      <c r="KJ4" t="s">
        <v>615</v>
      </c>
      <c r="KK4">
        <v>0.28360000000000002</v>
      </c>
      <c r="KL4">
        <v>28441</v>
      </c>
      <c r="KM4">
        <v>196940</v>
      </c>
      <c r="KN4">
        <v>39060</v>
      </c>
      <c r="KP4">
        <v>181440</v>
      </c>
      <c r="KX4">
        <v>25120</v>
      </c>
      <c r="LD4">
        <v>40960</v>
      </c>
      <c r="MD4">
        <v>40100</v>
      </c>
      <c r="MP4">
        <v>187198</v>
      </c>
      <c r="MQ4">
        <v>41599</v>
      </c>
      <c r="MS4">
        <v>166702</v>
      </c>
      <c r="MZ4">
        <v>41599</v>
      </c>
      <c r="NP4">
        <v>25999</v>
      </c>
      <c r="OG4">
        <v>41599</v>
      </c>
      <c r="OT4">
        <v>3973</v>
      </c>
      <c r="PA4">
        <v>511</v>
      </c>
      <c r="PB4">
        <v>4011</v>
      </c>
      <c r="PC4">
        <v>393626</v>
      </c>
      <c r="PD4">
        <v>39421</v>
      </c>
      <c r="PE4">
        <v>8324</v>
      </c>
      <c r="PG4">
        <v>2</v>
      </c>
      <c r="PJ4">
        <v>18021</v>
      </c>
      <c r="PM4">
        <v>15538</v>
      </c>
      <c r="PN4">
        <v>2012</v>
      </c>
      <c r="PS4">
        <v>500</v>
      </c>
      <c r="PV4">
        <v>356</v>
      </c>
      <c r="PW4">
        <v>4488</v>
      </c>
      <c r="PX4">
        <v>812</v>
      </c>
      <c r="PY4">
        <v>3794</v>
      </c>
      <c r="QD4">
        <v>400</v>
      </c>
      <c r="QE4">
        <v>849</v>
      </c>
      <c r="QI4">
        <v>400</v>
      </c>
      <c r="QK4">
        <v>5</v>
      </c>
      <c r="QM4">
        <v>7</v>
      </c>
      <c r="QS4">
        <v>1097</v>
      </c>
      <c r="QX4">
        <v>353</v>
      </c>
      <c r="SE4" s="1">
        <v>46086.322222222225</v>
      </c>
      <c r="SF4">
        <v>28441</v>
      </c>
      <c r="SG4">
        <v>407844</v>
      </c>
      <c r="SH4">
        <v>20</v>
      </c>
      <c r="SI4" t="s">
        <v>567</v>
      </c>
      <c r="SJ4">
        <v>50</v>
      </c>
      <c r="SK4" s="1">
        <v>46107.513541666667</v>
      </c>
      <c r="SZ4">
        <v>0.14099999999999999</v>
      </c>
      <c r="TA4">
        <v>1.385</v>
      </c>
      <c r="TB4">
        <v>1.12E-2</v>
      </c>
      <c r="TC4">
        <v>2E-3</v>
      </c>
      <c r="TD4">
        <v>0.22700000000000001</v>
      </c>
      <c r="TE4">
        <v>9.4E-2</v>
      </c>
      <c r="TF4">
        <v>5.6000000000000001E-2</v>
      </c>
      <c r="TG4">
        <v>5.8999999999999997E-2</v>
      </c>
      <c r="TH4">
        <v>4.2000000000000003E-2</v>
      </c>
      <c r="TI4">
        <v>2.5000000000000001E-2</v>
      </c>
      <c r="TJ4">
        <v>7.0000000000000001E-3</v>
      </c>
      <c r="TK4">
        <v>3.4305599999999998</v>
      </c>
      <c r="TL4">
        <v>6.6000000000000003E-2</v>
      </c>
      <c r="TM4">
        <v>2.7000000000000001E-3</v>
      </c>
      <c r="TN4">
        <v>2.5000000000000001E-3</v>
      </c>
      <c r="TO4">
        <v>7.0000000000000001E-3</v>
      </c>
      <c r="TQ4">
        <v>7.1999999999999998E-3</v>
      </c>
      <c r="TR4" t="s">
        <v>570</v>
      </c>
      <c r="TS4">
        <v>3.7499999999999999E-2</v>
      </c>
      <c r="TU4">
        <v>0.23580000000000001</v>
      </c>
      <c r="TV4">
        <v>4.8999999999999998E-3</v>
      </c>
      <c r="UD4">
        <v>0.41</v>
      </c>
      <c r="UE4">
        <v>0.45279999999999998</v>
      </c>
      <c r="UF4">
        <v>0.97</v>
      </c>
      <c r="UH4">
        <v>1.8000000000000001E-4</v>
      </c>
      <c r="UJ4">
        <v>0.2671</v>
      </c>
      <c r="UK4">
        <v>0.15</v>
      </c>
      <c r="UL4">
        <v>0.21</v>
      </c>
      <c r="UM4">
        <v>7.5700000000000003E-2</v>
      </c>
      <c r="UN4">
        <v>0.251</v>
      </c>
      <c r="UO4">
        <v>2.9314</v>
      </c>
      <c r="UP4">
        <v>1.59</v>
      </c>
      <c r="UQ4">
        <v>0.63</v>
      </c>
      <c r="UR4" s="1">
        <v>46086.322222222225</v>
      </c>
    </row>
    <row r="5" spans="1:564" x14ac:dyDescent="0.35">
      <c r="A5">
        <v>28442</v>
      </c>
      <c r="B5">
        <v>18486</v>
      </c>
      <c r="C5">
        <v>850</v>
      </c>
      <c r="D5">
        <v>26130</v>
      </c>
      <c r="G5" t="s">
        <v>614</v>
      </c>
      <c r="H5">
        <v>500000</v>
      </c>
      <c r="L5" t="s">
        <v>586</v>
      </c>
      <c r="M5">
        <v>74.8</v>
      </c>
      <c r="N5">
        <v>278</v>
      </c>
      <c r="O5" t="s">
        <v>729</v>
      </c>
      <c r="P5">
        <v>5</v>
      </c>
      <c r="S5" s="1">
        <v>46107.620497685188</v>
      </c>
      <c r="U5">
        <v>48</v>
      </c>
      <c r="W5">
        <v>14</v>
      </c>
      <c r="X5">
        <v>495910</v>
      </c>
      <c r="Y5" s="1">
        <v>46107.663831018515</v>
      </c>
      <c r="AB5">
        <v>58299</v>
      </c>
      <c r="AC5">
        <v>270</v>
      </c>
      <c r="AD5">
        <v>1078</v>
      </c>
      <c r="AE5">
        <v>242351</v>
      </c>
      <c r="AF5">
        <v>0.04</v>
      </c>
      <c r="AG5">
        <v>953</v>
      </c>
      <c r="AH5">
        <v>3060</v>
      </c>
      <c r="AL5">
        <v>5</v>
      </c>
      <c r="AM5" t="s">
        <v>730</v>
      </c>
      <c r="AO5" s="1">
        <v>46107.664594907408</v>
      </c>
      <c r="AP5">
        <v>2</v>
      </c>
      <c r="AS5" s="1">
        <v>46107.67150462963</v>
      </c>
      <c r="AT5" s="1">
        <v>46107.763784722221</v>
      </c>
      <c r="AU5">
        <v>21</v>
      </c>
      <c r="AV5">
        <v>107</v>
      </c>
      <c r="AY5">
        <v>475912</v>
      </c>
      <c r="AZ5">
        <v>467260</v>
      </c>
      <c r="BA5">
        <v>207480</v>
      </c>
      <c r="BB5">
        <v>2976</v>
      </c>
      <c r="BC5">
        <v>2865</v>
      </c>
      <c r="BD5">
        <v>0</v>
      </c>
      <c r="BF5" t="s">
        <v>731</v>
      </c>
      <c r="BG5" s="1">
        <v>46107.764282407406</v>
      </c>
      <c r="BH5" s="1">
        <v>46107.772210648145</v>
      </c>
      <c r="BI5" s="1">
        <v>46107.813194444447</v>
      </c>
      <c r="BJ5" s="1">
        <v>46107.872361111113</v>
      </c>
      <c r="BK5">
        <v>1.1000000000000001</v>
      </c>
      <c r="BM5">
        <v>4117</v>
      </c>
      <c r="BT5" s="1">
        <v>46107.775682870371</v>
      </c>
      <c r="BU5" s="1">
        <v>46107.827766203707</v>
      </c>
      <c r="BV5" t="b">
        <v>0</v>
      </c>
      <c r="BX5">
        <v>1</v>
      </c>
      <c r="BY5" t="b">
        <v>0</v>
      </c>
      <c r="CD5">
        <v>0.9</v>
      </c>
      <c r="CF5" s="1">
        <v>46107.640960648147</v>
      </c>
      <c r="CG5" t="b">
        <v>0</v>
      </c>
      <c r="CH5" t="b">
        <v>0</v>
      </c>
      <c r="CI5" t="b">
        <v>0</v>
      </c>
      <c r="CJ5" t="b">
        <v>0</v>
      </c>
      <c r="CK5" t="b">
        <v>0</v>
      </c>
      <c r="CL5" t="b">
        <v>0</v>
      </c>
      <c r="CM5" t="b">
        <v>0</v>
      </c>
      <c r="CN5" t="b">
        <v>0</v>
      </c>
      <c r="CP5">
        <v>6</v>
      </c>
      <c r="CR5">
        <v>2</v>
      </c>
      <c r="CS5">
        <v>2816</v>
      </c>
      <c r="CT5">
        <v>2809</v>
      </c>
      <c r="CU5">
        <v>2813</v>
      </c>
      <c r="CZ5">
        <v>5.7</v>
      </c>
      <c r="DA5">
        <v>6.44</v>
      </c>
      <c r="DB5">
        <v>7.56</v>
      </c>
      <c r="DC5">
        <v>7.38</v>
      </c>
      <c r="DH5">
        <v>4458</v>
      </c>
      <c r="DI5">
        <v>4468</v>
      </c>
      <c r="DJ5">
        <v>419</v>
      </c>
      <c r="DK5">
        <v>415</v>
      </c>
      <c r="DP5">
        <v>4451</v>
      </c>
      <c r="DQ5">
        <v>4448</v>
      </c>
      <c r="DR5">
        <v>416</v>
      </c>
      <c r="DS5">
        <v>417</v>
      </c>
      <c r="DX5">
        <v>4451</v>
      </c>
      <c r="DY5">
        <v>4446</v>
      </c>
      <c r="DZ5">
        <v>415</v>
      </c>
      <c r="EA5">
        <v>417</v>
      </c>
      <c r="EB5" s="1">
        <v>46107.830150462964</v>
      </c>
      <c r="EG5" s="1">
        <v>46107.872361111113</v>
      </c>
      <c r="EJ5" s="1">
        <v>46107.927199074074</v>
      </c>
      <c r="EQ5">
        <v>2.98</v>
      </c>
      <c r="ER5">
        <v>12</v>
      </c>
      <c r="ES5">
        <v>2976</v>
      </c>
      <c r="ET5">
        <v>11.62</v>
      </c>
      <c r="EU5">
        <v>3</v>
      </c>
      <c r="EV5">
        <v>2922</v>
      </c>
      <c r="EW5">
        <v>0</v>
      </c>
      <c r="EX5">
        <v>0</v>
      </c>
      <c r="EY5">
        <v>2899</v>
      </c>
      <c r="EZ5">
        <v>0</v>
      </c>
      <c r="FA5">
        <v>0</v>
      </c>
      <c r="FB5">
        <v>2881</v>
      </c>
      <c r="FC5">
        <v>7.7</v>
      </c>
      <c r="FJ5" t="s">
        <v>732</v>
      </c>
      <c r="FK5">
        <v>114</v>
      </c>
      <c r="FL5" s="1">
        <v>46107.905451388891</v>
      </c>
      <c r="FM5">
        <v>174</v>
      </c>
      <c r="FN5" t="s">
        <v>615</v>
      </c>
      <c r="FO5" t="s">
        <v>615</v>
      </c>
      <c r="FP5">
        <v>174</v>
      </c>
      <c r="FQ5" t="s">
        <v>615</v>
      </c>
      <c r="FR5" t="s">
        <v>615</v>
      </c>
      <c r="FS5" t="s">
        <v>616</v>
      </c>
      <c r="FT5" t="s">
        <v>582</v>
      </c>
      <c r="FV5" t="s">
        <v>573</v>
      </c>
      <c r="FW5" t="b">
        <v>0</v>
      </c>
      <c r="GA5" t="s">
        <v>733</v>
      </c>
      <c r="GB5">
        <v>18486</v>
      </c>
      <c r="GC5" s="1">
        <v>46107.775682870371</v>
      </c>
      <c r="GD5" t="s">
        <v>590</v>
      </c>
      <c r="GE5" t="s">
        <v>626</v>
      </c>
      <c r="GF5">
        <v>62</v>
      </c>
      <c r="GG5">
        <v>133</v>
      </c>
      <c r="GH5">
        <v>85</v>
      </c>
      <c r="GI5" t="s">
        <v>565</v>
      </c>
      <c r="GJ5">
        <v>247.96</v>
      </c>
      <c r="GL5">
        <v>2379</v>
      </c>
      <c r="GN5" t="s">
        <v>627</v>
      </c>
      <c r="GP5">
        <v>2379</v>
      </c>
      <c r="GR5" t="s">
        <v>627</v>
      </c>
      <c r="HI5" s="2">
        <v>46107</v>
      </c>
      <c r="HJ5" t="s">
        <v>581</v>
      </c>
      <c r="HK5" t="s">
        <v>576</v>
      </c>
      <c r="HM5">
        <v>2</v>
      </c>
      <c r="HN5">
        <v>2</v>
      </c>
      <c r="HV5">
        <v>1</v>
      </c>
      <c r="HW5" t="b">
        <v>0</v>
      </c>
      <c r="IB5">
        <v>2860</v>
      </c>
      <c r="IE5" t="s">
        <v>734</v>
      </c>
      <c r="II5">
        <v>1</v>
      </c>
      <c r="IJ5">
        <v>2760</v>
      </c>
      <c r="IK5">
        <v>56</v>
      </c>
      <c r="IL5">
        <v>49</v>
      </c>
      <c r="IM5">
        <v>53</v>
      </c>
      <c r="IN5" t="s">
        <v>594</v>
      </c>
      <c r="IO5" t="s">
        <v>735</v>
      </c>
      <c r="IP5" t="s">
        <v>735</v>
      </c>
      <c r="IR5">
        <v>10</v>
      </c>
      <c r="IT5" t="s">
        <v>628</v>
      </c>
      <c r="IV5">
        <v>28442</v>
      </c>
      <c r="IW5">
        <v>28443</v>
      </c>
      <c r="IX5">
        <v>28469</v>
      </c>
      <c r="IY5">
        <v>267.22103600000003</v>
      </c>
      <c r="IZ5">
        <v>0</v>
      </c>
      <c r="JA5">
        <v>1.1000000000000001</v>
      </c>
      <c r="JB5">
        <v>0</v>
      </c>
      <c r="JC5">
        <v>1.3361050000000001</v>
      </c>
      <c r="JD5">
        <v>268.557141</v>
      </c>
      <c r="JE5">
        <v>269.65714100000002</v>
      </c>
      <c r="JF5">
        <v>99.096500000000006</v>
      </c>
      <c r="JG5">
        <v>0</v>
      </c>
      <c r="JH5">
        <v>0</v>
      </c>
      <c r="JI5">
        <v>0</v>
      </c>
      <c r="JJ5">
        <v>0</v>
      </c>
      <c r="JK5">
        <v>0</v>
      </c>
      <c r="JL5">
        <v>74.8</v>
      </c>
      <c r="JM5">
        <v>9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10</v>
      </c>
      <c r="JU5">
        <v>0</v>
      </c>
      <c r="JV5">
        <v>0</v>
      </c>
      <c r="JW5">
        <v>534442.07299999997</v>
      </c>
      <c r="JX5">
        <v>2780</v>
      </c>
      <c r="JY5">
        <v>74.8</v>
      </c>
      <c r="JZ5">
        <v>9.0625</v>
      </c>
      <c r="KA5">
        <v>0</v>
      </c>
      <c r="KB5">
        <v>267.22103600000003</v>
      </c>
      <c r="KC5">
        <v>1.3361050000000001</v>
      </c>
      <c r="KD5">
        <v>0</v>
      </c>
      <c r="KE5">
        <v>0</v>
      </c>
      <c r="KF5">
        <v>0</v>
      </c>
      <c r="KG5">
        <v>1.1000000000000001</v>
      </c>
      <c r="KH5">
        <v>0</v>
      </c>
      <c r="KI5">
        <v>0</v>
      </c>
      <c r="KJ5" t="s">
        <v>615</v>
      </c>
      <c r="KK5">
        <v>0.28360000000000002</v>
      </c>
      <c r="KL5">
        <v>28442</v>
      </c>
      <c r="KM5">
        <v>204631</v>
      </c>
      <c r="KN5">
        <v>44255</v>
      </c>
      <c r="KP5">
        <v>197980</v>
      </c>
      <c r="KX5">
        <v>50937</v>
      </c>
      <c r="LD5">
        <v>47943</v>
      </c>
      <c r="MD5">
        <v>47501</v>
      </c>
      <c r="MP5">
        <v>129198</v>
      </c>
      <c r="MQ5">
        <v>30399</v>
      </c>
      <c r="MS5">
        <v>97749</v>
      </c>
      <c r="MZ5">
        <v>30399</v>
      </c>
      <c r="NA5">
        <v>30399</v>
      </c>
      <c r="OG5">
        <v>30399</v>
      </c>
      <c r="OT5">
        <v>4184</v>
      </c>
      <c r="PA5">
        <v>680</v>
      </c>
      <c r="PB5">
        <v>4070</v>
      </c>
      <c r="PC5">
        <v>271394</v>
      </c>
      <c r="PD5">
        <v>30578</v>
      </c>
      <c r="PE5">
        <v>6158</v>
      </c>
      <c r="PG5">
        <v>1</v>
      </c>
      <c r="PJ5">
        <v>12604</v>
      </c>
      <c r="PM5">
        <v>11093</v>
      </c>
      <c r="PN5">
        <v>2708</v>
      </c>
      <c r="PV5">
        <v>1530</v>
      </c>
      <c r="PW5">
        <v>4536</v>
      </c>
      <c r="PX5">
        <v>1116</v>
      </c>
      <c r="PY5">
        <v>1986</v>
      </c>
      <c r="QD5">
        <v>200</v>
      </c>
      <c r="QE5">
        <v>949</v>
      </c>
      <c r="QK5">
        <v>10</v>
      </c>
      <c r="QM5">
        <v>10</v>
      </c>
      <c r="QS5">
        <v>842</v>
      </c>
      <c r="QW5">
        <v>200</v>
      </c>
      <c r="QX5">
        <v>390</v>
      </c>
      <c r="QY5">
        <v>150</v>
      </c>
      <c r="SE5" s="1">
        <v>46086.322222222225</v>
      </c>
      <c r="SF5">
        <v>28442</v>
      </c>
      <c r="SG5">
        <v>408067</v>
      </c>
      <c r="SH5">
        <v>20</v>
      </c>
      <c r="SI5" t="s">
        <v>567</v>
      </c>
      <c r="SJ5">
        <v>50</v>
      </c>
      <c r="SK5" s="1">
        <v>46107.817511574074</v>
      </c>
      <c r="SZ5">
        <v>0.14199999999999999</v>
      </c>
      <c r="TA5">
        <v>1.357</v>
      </c>
      <c r="TB5">
        <v>1.0699999999999999E-2</v>
      </c>
      <c r="TC5">
        <v>2.5000000000000001E-3</v>
      </c>
      <c r="TD5">
        <v>0.24299999999999999</v>
      </c>
      <c r="TE5">
        <v>0.11</v>
      </c>
      <c r="TF5">
        <v>0.06</v>
      </c>
      <c r="TG5">
        <v>0.1</v>
      </c>
      <c r="TH5">
        <v>8.9999999999999993E-3</v>
      </c>
      <c r="TI5">
        <v>0.03</v>
      </c>
      <c r="TJ5">
        <v>7.0000000000000001E-3</v>
      </c>
      <c r="TK5">
        <v>4.3913000000000002</v>
      </c>
      <c r="TL5">
        <v>6.4000000000000001E-2</v>
      </c>
      <c r="TM5" t="s">
        <v>568</v>
      </c>
      <c r="TN5">
        <v>2.3E-3</v>
      </c>
      <c r="TO5">
        <v>7.4999999999999997E-3</v>
      </c>
      <c r="TP5" t="s">
        <v>569</v>
      </c>
      <c r="TQ5">
        <v>6.8999999999999999E-3</v>
      </c>
      <c r="TR5" t="s">
        <v>570</v>
      </c>
      <c r="TS5" t="s">
        <v>578</v>
      </c>
      <c r="TU5">
        <v>0.23569999999999999</v>
      </c>
      <c r="TV5">
        <v>7.1000000000000004E-3</v>
      </c>
      <c r="UD5">
        <v>0.41</v>
      </c>
      <c r="UE5">
        <v>0.44929999999999998</v>
      </c>
      <c r="UF5">
        <v>1.0900000000000001</v>
      </c>
      <c r="UH5">
        <v>2.1000000000000001E-4</v>
      </c>
      <c r="UJ5">
        <v>0.29630000000000001</v>
      </c>
      <c r="UK5">
        <v>0.17</v>
      </c>
      <c r="UL5">
        <v>0.27</v>
      </c>
      <c r="UM5">
        <v>7.22E-2</v>
      </c>
      <c r="UN5">
        <v>0.27900000000000003</v>
      </c>
      <c r="UO5">
        <v>3.3738000000000001</v>
      </c>
      <c r="UP5">
        <v>1.1000000000000001</v>
      </c>
      <c r="UQ5">
        <v>0.91</v>
      </c>
      <c r="UR5" s="1">
        <v>46086.322222222225</v>
      </c>
    </row>
    <row r="6" spans="1:564" x14ac:dyDescent="0.35">
      <c r="A6">
        <v>28443</v>
      </c>
      <c r="B6">
        <v>18485</v>
      </c>
      <c r="C6">
        <v>850</v>
      </c>
      <c r="D6">
        <v>26130</v>
      </c>
      <c r="G6" t="s">
        <v>614</v>
      </c>
      <c r="H6">
        <v>500000</v>
      </c>
      <c r="L6" t="s">
        <v>586</v>
      </c>
      <c r="M6">
        <v>74.8</v>
      </c>
      <c r="N6">
        <v>278</v>
      </c>
      <c r="O6" t="s">
        <v>722</v>
      </c>
      <c r="P6">
        <v>4</v>
      </c>
      <c r="S6" s="1">
        <v>46107.541504629633</v>
      </c>
      <c r="U6">
        <v>71</v>
      </c>
      <c r="W6">
        <v>42</v>
      </c>
      <c r="X6">
        <v>458696</v>
      </c>
      <c r="Y6" s="1">
        <v>46107.620497685188</v>
      </c>
      <c r="AB6">
        <v>81999</v>
      </c>
      <c r="AC6">
        <v>269</v>
      </c>
      <c r="AD6">
        <v>1077</v>
      </c>
      <c r="AE6">
        <v>230358</v>
      </c>
      <c r="AF6">
        <v>7.0000000000000007E-2</v>
      </c>
      <c r="AG6">
        <v>479</v>
      </c>
      <c r="AH6">
        <v>2907</v>
      </c>
      <c r="AI6">
        <v>0.06</v>
      </c>
      <c r="AJ6">
        <v>590</v>
      </c>
      <c r="AK6">
        <v>2948</v>
      </c>
      <c r="AL6">
        <v>32</v>
      </c>
      <c r="AM6" t="s">
        <v>723</v>
      </c>
      <c r="AO6" s="1">
        <v>46107.737037037034</v>
      </c>
      <c r="AP6">
        <v>1</v>
      </c>
      <c r="AS6" s="1">
        <v>46107.625914351855</v>
      </c>
      <c r="AT6" s="1">
        <v>46107.736608796295</v>
      </c>
      <c r="AU6">
        <v>15</v>
      </c>
      <c r="AV6">
        <v>143</v>
      </c>
      <c r="AY6">
        <v>487814</v>
      </c>
      <c r="AZ6">
        <v>479995</v>
      </c>
      <c r="BA6">
        <v>1870</v>
      </c>
      <c r="BB6">
        <v>2982</v>
      </c>
      <c r="BC6">
        <v>2872</v>
      </c>
      <c r="BD6">
        <v>0</v>
      </c>
      <c r="BG6" s="1">
        <v>46107.737175925926</v>
      </c>
      <c r="BH6" s="1">
        <v>46107.728043981479</v>
      </c>
      <c r="BI6" s="1">
        <v>46107.731504629628</v>
      </c>
      <c r="BJ6" s="1">
        <v>46107.813148148147</v>
      </c>
      <c r="BK6">
        <v>1.1000000000000001</v>
      </c>
      <c r="BM6">
        <v>4117</v>
      </c>
      <c r="BQ6">
        <v>112</v>
      </c>
      <c r="BR6" t="s">
        <v>724</v>
      </c>
      <c r="BT6" s="1">
        <v>46107.730821759258</v>
      </c>
      <c r="BU6" s="1">
        <v>46107.773877314816</v>
      </c>
      <c r="BV6" t="b">
        <v>0</v>
      </c>
      <c r="BX6">
        <v>1</v>
      </c>
      <c r="BY6" t="b">
        <v>0</v>
      </c>
      <c r="CD6">
        <v>0.9</v>
      </c>
      <c r="CF6" s="1">
        <v>46107.6405787037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  <c r="CN6" t="b">
        <v>0</v>
      </c>
      <c r="CP6">
        <v>6</v>
      </c>
      <c r="CR6">
        <v>2</v>
      </c>
      <c r="CS6">
        <v>2797</v>
      </c>
      <c r="CT6">
        <v>2805</v>
      </c>
      <c r="CU6">
        <v>2817</v>
      </c>
      <c r="CZ6">
        <v>5.83</v>
      </c>
      <c r="DA6">
        <v>5.66</v>
      </c>
      <c r="DB6">
        <v>8.4700000000000006</v>
      </c>
      <c r="DC6">
        <v>7.2</v>
      </c>
      <c r="DH6">
        <v>4463</v>
      </c>
      <c r="DI6">
        <v>4453</v>
      </c>
      <c r="DJ6">
        <v>416</v>
      </c>
      <c r="DK6">
        <v>415</v>
      </c>
      <c r="DP6">
        <v>4446</v>
      </c>
      <c r="DQ6">
        <v>4451</v>
      </c>
      <c r="DR6">
        <v>415</v>
      </c>
      <c r="DS6">
        <v>418</v>
      </c>
      <c r="DX6">
        <v>4454</v>
      </c>
      <c r="DY6">
        <v>4435</v>
      </c>
      <c r="DZ6">
        <v>416</v>
      </c>
      <c r="EA6">
        <v>415</v>
      </c>
      <c r="EB6" s="1">
        <v>46107.775717592594</v>
      </c>
      <c r="EC6">
        <v>30</v>
      </c>
      <c r="EG6" s="1">
        <v>46107.813148148147</v>
      </c>
      <c r="EJ6" s="1">
        <v>46107.90284722222</v>
      </c>
      <c r="EK6">
        <v>0.05</v>
      </c>
      <c r="EL6">
        <v>771</v>
      </c>
      <c r="EM6">
        <v>3003</v>
      </c>
      <c r="EQ6">
        <v>1.06</v>
      </c>
      <c r="ER6">
        <v>34</v>
      </c>
      <c r="ES6">
        <v>2982</v>
      </c>
      <c r="ET6">
        <v>0</v>
      </c>
      <c r="EU6">
        <v>0</v>
      </c>
      <c r="EV6">
        <v>2959</v>
      </c>
      <c r="EW6">
        <v>0</v>
      </c>
      <c r="EX6">
        <v>0</v>
      </c>
      <c r="EY6">
        <v>2890</v>
      </c>
      <c r="EZ6">
        <v>0</v>
      </c>
      <c r="FA6">
        <v>0</v>
      </c>
      <c r="FB6">
        <v>2888</v>
      </c>
      <c r="FC6">
        <v>8.6</v>
      </c>
      <c r="FG6" t="b">
        <v>1</v>
      </c>
      <c r="FI6" t="s">
        <v>571</v>
      </c>
      <c r="FJ6" t="s">
        <v>725</v>
      </c>
      <c r="FK6">
        <v>97</v>
      </c>
      <c r="FL6" s="1">
        <v>46107.902615740742</v>
      </c>
      <c r="FM6">
        <v>174</v>
      </c>
      <c r="FN6" t="s">
        <v>615</v>
      </c>
      <c r="FO6" t="s">
        <v>615</v>
      </c>
      <c r="FP6">
        <v>174</v>
      </c>
      <c r="FQ6" t="s">
        <v>615</v>
      </c>
      <c r="FR6" t="s">
        <v>615</v>
      </c>
      <c r="FS6" t="s">
        <v>616</v>
      </c>
      <c r="FT6" t="s">
        <v>638</v>
      </c>
      <c r="FV6" t="s">
        <v>573</v>
      </c>
      <c r="FW6" t="b">
        <v>0</v>
      </c>
      <c r="GA6" t="s">
        <v>726</v>
      </c>
      <c r="GB6">
        <v>18485</v>
      </c>
      <c r="GC6" s="1">
        <v>46107.730821759258</v>
      </c>
      <c r="GD6" t="s">
        <v>590</v>
      </c>
      <c r="GE6" t="s">
        <v>626</v>
      </c>
      <c r="GF6">
        <v>114</v>
      </c>
      <c r="GG6">
        <v>159</v>
      </c>
      <c r="GH6">
        <v>117</v>
      </c>
      <c r="GI6" t="s">
        <v>574</v>
      </c>
      <c r="GJ6">
        <v>229.35</v>
      </c>
      <c r="GL6">
        <v>2379</v>
      </c>
      <c r="GN6" t="s">
        <v>627</v>
      </c>
      <c r="GP6">
        <v>2379</v>
      </c>
      <c r="GR6" t="s">
        <v>627</v>
      </c>
      <c r="GT6">
        <v>1937</v>
      </c>
      <c r="GV6">
        <v>10.9</v>
      </c>
      <c r="GX6">
        <v>10.199999999999999</v>
      </c>
      <c r="HD6">
        <v>74.75</v>
      </c>
      <c r="HF6">
        <v>75</v>
      </c>
      <c r="HI6" s="2">
        <v>46107</v>
      </c>
      <c r="HJ6" t="s">
        <v>581</v>
      </c>
      <c r="HK6" t="s">
        <v>576</v>
      </c>
      <c r="HM6">
        <v>1</v>
      </c>
      <c r="HN6">
        <v>2</v>
      </c>
      <c r="HV6">
        <v>1</v>
      </c>
      <c r="HW6" t="b">
        <v>0</v>
      </c>
      <c r="IB6">
        <v>2870</v>
      </c>
      <c r="IJ6">
        <v>2760</v>
      </c>
      <c r="IK6">
        <v>37</v>
      </c>
      <c r="IL6">
        <v>45</v>
      </c>
      <c r="IM6">
        <v>57</v>
      </c>
      <c r="IN6" t="s">
        <v>594</v>
      </c>
      <c r="IO6" t="s">
        <v>727</v>
      </c>
      <c r="IP6" t="s">
        <v>727</v>
      </c>
      <c r="IR6">
        <v>8</v>
      </c>
      <c r="IT6" t="s">
        <v>628</v>
      </c>
      <c r="IU6" s="1">
        <v>46107.77615740741</v>
      </c>
      <c r="IV6">
        <v>28443</v>
      </c>
      <c r="IW6">
        <v>28443</v>
      </c>
      <c r="IX6">
        <v>28469</v>
      </c>
      <c r="IY6">
        <v>241.07566800000001</v>
      </c>
      <c r="IZ6">
        <v>2.8637920000000001</v>
      </c>
      <c r="JA6">
        <v>1.1000000000000001</v>
      </c>
      <c r="JB6">
        <v>0</v>
      </c>
      <c r="JC6">
        <v>1.2196959999999999</v>
      </c>
      <c r="JD6">
        <v>245.159156</v>
      </c>
      <c r="JE6">
        <v>246.25915599999999</v>
      </c>
      <c r="JF6">
        <v>97.895099999999999</v>
      </c>
      <c r="JG6">
        <v>0</v>
      </c>
      <c r="JH6">
        <v>30</v>
      </c>
      <c r="JI6">
        <v>0</v>
      </c>
      <c r="JJ6">
        <v>0</v>
      </c>
      <c r="JK6">
        <v>0</v>
      </c>
      <c r="JL6">
        <v>74.8</v>
      </c>
      <c r="JM6">
        <v>9</v>
      </c>
      <c r="JN6">
        <v>30</v>
      </c>
      <c r="JO6">
        <v>0</v>
      </c>
      <c r="JP6">
        <v>1.4318000000000001E-2</v>
      </c>
      <c r="JQ6">
        <v>2.8637920000000001</v>
      </c>
      <c r="JR6">
        <v>5727.5856000000003</v>
      </c>
      <c r="JS6">
        <v>0</v>
      </c>
      <c r="JT6">
        <v>9</v>
      </c>
      <c r="JU6">
        <v>0</v>
      </c>
      <c r="JV6">
        <v>0</v>
      </c>
      <c r="JW6">
        <v>482151.33779999998</v>
      </c>
      <c r="JX6">
        <v>2508</v>
      </c>
      <c r="JY6">
        <v>74.8</v>
      </c>
      <c r="JZ6">
        <v>9.0625</v>
      </c>
      <c r="KA6">
        <v>0</v>
      </c>
      <c r="KB6">
        <v>241.07566800000001</v>
      </c>
      <c r="KC6">
        <v>1.2053780000000001</v>
      </c>
      <c r="KD6">
        <v>0</v>
      </c>
      <c r="KE6">
        <v>0</v>
      </c>
      <c r="KF6">
        <v>0</v>
      </c>
      <c r="KG6">
        <v>1.1000000000000001</v>
      </c>
      <c r="KH6">
        <v>0</v>
      </c>
      <c r="KI6">
        <v>0</v>
      </c>
      <c r="KJ6" t="s">
        <v>615</v>
      </c>
      <c r="KK6">
        <v>0.28360000000000002</v>
      </c>
      <c r="KL6">
        <v>28443</v>
      </c>
      <c r="KM6">
        <v>99820</v>
      </c>
      <c r="KN6">
        <v>38900</v>
      </c>
      <c r="KO6">
        <v>53320</v>
      </c>
      <c r="KP6">
        <v>165360</v>
      </c>
      <c r="LD6">
        <v>24400</v>
      </c>
      <c r="LV6">
        <v>47900</v>
      </c>
      <c r="MD6">
        <v>38720</v>
      </c>
      <c r="MP6">
        <v>169998</v>
      </c>
      <c r="MQ6">
        <v>39999</v>
      </c>
      <c r="MS6">
        <v>167713</v>
      </c>
      <c r="MZ6">
        <v>39999</v>
      </c>
      <c r="NA6">
        <v>39999</v>
      </c>
      <c r="OG6">
        <v>39999</v>
      </c>
      <c r="OT6">
        <v>4070</v>
      </c>
      <c r="PA6">
        <v>672</v>
      </c>
      <c r="PB6">
        <v>4087</v>
      </c>
      <c r="PC6">
        <v>386767</v>
      </c>
      <c r="PD6">
        <v>41476</v>
      </c>
      <c r="PE6">
        <v>8029</v>
      </c>
      <c r="PG6">
        <v>3</v>
      </c>
      <c r="PJ6">
        <v>18502</v>
      </c>
      <c r="PM6">
        <v>15524</v>
      </c>
      <c r="PN6">
        <v>2582</v>
      </c>
      <c r="PS6">
        <v>500</v>
      </c>
      <c r="PW6">
        <v>3998</v>
      </c>
      <c r="PX6">
        <v>803</v>
      </c>
      <c r="PY6">
        <v>2099</v>
      </c>
      <c r="QD6">
        <v>250</v>
      </c>
      <c r="QI6">
        <v>200</v>
      </c>
      <c r="QK6">
        <v>6</v>
      </c>
      <c r="QM6">
        <v>8</v>
      </c>
      <c r="QS6">
        <v>850</v>
      </c>
      <c r="QW6">
        <v>150</v>
      </c>
      <c r="QX6">
        <v>420</v>
      </c>
      <c r="QY6">
        <v>100</v>
      </c>
      <c r="SE6" s="1">
        <v>46086.322222222225</v>
      </c>
      <c r="SF6">
        <v>28443</v>
      </c>
      <c r="SG6">
        <v>408053</v>
      </c>
      <c r="SH6">
        <v>20</v>
      </c>
      <c r="SI6" t="s">
        <v>567</v>
      </c>
      <c r="SJ6">
        <v>50</v>
      </c>
      <c r="SK6" s="1">
        <v>46107.776504629626</v>
      </c>
      <c r="SZ6">
        <v>0.14499999999999999</v>
      </c>
      <c r="TA6">
        <v>1.3440000000000001</v>
      </c>
      <c r="TB6">
        <v>9.7999999999999997E-3</v>
      </c>
      <c r="TC6">
        <v>3.0000000000000001E-3</v>
      </c>
      <c r="TD6">
        <v>0.24299999999999999</v>
      </c>
      <c r="TE6">
        <v>0.129</v>
      </c>
      <c r="TF6">
        <v>6.5000000000000002E-2</v>
      </c>
      <c r="TG6">
        <v>0.10299999999999999</v>
      </c>
      <c r="TH6">
        <v>1.4999999999999999E-2</v>
      </c>
      <c r="TI6">
        <v>3.5999999999999997E-2</v>
      </c>
      <c r="TJ6">
        <v>8.0000000000000002E-3</v>
      </c>
      <c r="TK6">
        <v>4.4321000000000002</v>
      </c>
      <c r="TL6">
        <v>6.5000000000000002E-2</v>
      </c>
      <c r="TM6" t="s">
        <v>568</v>
      </c>
      <c r="TN6">
        <v>2.0999999999999999E-3</v>
      </c>
      <c r="TO6">
        <v>8.6E-3</v>
      </c>
      <c r="TP6" t="s">
        <v>569</v>
      </c>
      <c r="TQ6">
        <v>8.0999999999999996E-3</v>
      </c>
      <c r="TR6" t="s">
        <v>570</v>
      </c>
      <c r="TS6" t="s">
        <v>578</v>
      </c>
      <c r="TU6">
        <v>0.23930000000000001</v>
      </c>
      <c r="TV6">
        <v>7.6E-3</v>
      </c>
      <c r="UD6">
        <v>0.41</v>
      </c>
      <c r="UE6">
        <v>0.45350000000000001</v>
      </c>
      <c r="UF6">
        <v>1.06</v>
      </c>
      <c r="UH6">
        <v>2.9E-4</v>
      </c>
      <c r="UJ6">
        <v>0.33119999999999999</v>
      </c>
      <c r="UK6">
        <v>0.2</v>
      </c>
      <c r="UL6">
        <v>0.3</v>
      </c>
      <c r="UM6">
        <v>7.4200000000000002E-2</v>
      </c>
      <c r="UN6">
        <v>0.312</v>
      </c>
      <c r="UO6">
        <v>3.7021000000000002</v>
      </c>
      <c r="UP6">
        <v>1.25</v>
      </c>
      <c r="UQ6">
        <v>0.8</v>
      </c>
      <c r="UR6" s="1">
        <v>46086.322222222225</v>
      </c>
    </row>
    <row r="7" spans="1:564" x14ac:dyDescent="0.35">
      <c r="A7">
        <v>28444</v>
      </c>
      <c r="B7">
        <v>18487</v>
      </c>
      <c r="C7">
        <v>850</v>
      </c>
      <c r="D7">
        <v>26130</v>
      </c>
      <c r="G7" t="s">
        <v>614</v>
      </c>
      <c r="H7">
        <v>500000</v>
      </c>
      <c r="L7" t="s">
        <v>586</v>
      </c>
      <c r="M7">
        <v>74.8</v>
      </c>
      <c r="N7">
        <v>278</v>
      </c>
      <c r="O7" t="s">
        <v>629</v>
      </c>
      <c r="P7">
        <v>1</v>
      </c>
      <c r="S7" s="1">
        <v>46107.663831018515</v>
      </c>
      <c r="U7">
        <v>88</v>
      </c>
      <c r="W7">
        <v>46</v>
      </c>
      <c r="X7">
        <v>495910</v>
      </c>
      <c r="Y7" s="1">
        <v>46107.757465277777</v>
      </c>
      <c r="AB7">
        <v>110832</v>
      </c>
      <c r="AC7">
        <v>271</v>
      </c>
      <c r="AD7">
        <v>1079</v>
      </c>
      <c r="AE7">
        <v>87580</v>
      </c>
      <c r="AF7">
        <v>0.14000000000000001</v>
      </c>
      <c r="AG7">
        <v>245</v>
      </c>
      <c r="AH7">
        <v>2917</v>
      </c>
      <c r="AI7">
        <v>0.06</v>
      </c>
      <c r="AJ7">
        <v>654</v>
      </c>
      <c r="AK7">
        <v>3016</v>
      </c>
      <c r="AL7">
        <v>36</v>
      </c>
      <c r="AM7" t="s">
        <v>630</v>
      </c>
      <c r="AO7" s="1">
        <v>46107.837129629632</v>
      </c>
      <c r="AP7">
        <v>1</v>
      </c>
      <c r="AS7" s="1">
        <v>46107.761250000003</v>
      </c>
      <c r="AT7" s="1">
        <v>46107.816064814811</v>
      </c>
      <c r="AU7">
        <v>13</v>
      </c>
      <c r="AV7">
        <v>68</v>
      </c>
      <c r="AY7">
        <v>498389</v>
      </c>
      <c r="AZ7">
        <v>488030</v>
      </c>
      <c r="BA7">
        <v>1320</v>
      </c>
      <c r="BB7">
        <v>2926</v>
      </c>
      <c r="BC7">
        <v>2869</v>
      </c>
      <c r="BD7">
        <v>0</v>
      </c>
      <c r="BF7" t="s">
        <v>631</v>
      </c>
      <c r="BG7" s="1">
        <v>46107.817071759258</v>
      </c>
      <c r="BH7" s="1">
        <v>46107.82707175926</v>
      </c>
      <c r="BI7" s="1">
        <v>46107.872384259259</v>
      </c>
      <c r="BJ7" s="1">
        <v>46107.925740740742</v>
      </c>
      <c r="BK7">
        <v>1.1000000000000001</v>
      </c>
      <c r="BM7">
        <v>4117</v>
      </c>
      <c r="BT7" s="1">
        <v>46107.829155092593</v>
      </c>
      <c r="BU7" s="1">
        <v>46107.883321759262</v>
      </c>
      <c r="BV7" t="b">
        <v>0</v>
      </c>
      <c r="BX7">
        <v>1</v>
      </c>
      <c r="BY7" t="b">
        <v>0</v>
      </c>
      <c r="CD7">
        <v>0.9</v>
      </c>
      <c r="CF7" s="1">
        <v>46107.640960648147</v>
      </c>
      <c r="CG7" t="b">
        <v>0</v>
      </c>
      <c r="CH7" t="b">
        <v>0</v>
      </c>
      <c r="CI7" t="b">
        <v>0</v>
      </c>
      <c r="CJ7" t="b">
        <v>0</v>
      </c>
      <c r="CK7" t="b">
        <v>0</v>
      </c>
      <c r="CL7" t="b">
        <v>0</v>
      </c>
      <c r="CM7" t="b">
        <v>0</v>
      </c>
      <c r="CN7" t="b">
        <v>0</v>
      </c>
      <c r="CP7">
        <v>6</v>
      </c>
      <c r="CR7">
        <v>2</v>
      </c>
      <c r="CS7">
        <v>2800</v>
      </c>
      <c r="CT7">
        <v>2799</v>
      </c>
      <c r="CU7">
        <v>2803</v>
      </c>
      <c r="CZ7">
        <v>5.66</v>
      </c>
      <c r="DA7">
        <v>6.29</v>
      </c>
      <c r="DB7">
        <v>7.97</v>
      </c>
      <c r="DC7">
        <v>7.8</v>
      </c>
      <c r="DH7">
        <v>4445</v>
      </c>
      <c r="DI7">
        <v>4446</v>
      </c>
      <c r="DJ7">
        <v>415</v>
      </c>
      <c r="DK7">
        <v>415</v>
      </c>
      <c r="DP7">
        <v>4457</v>
      </c>
      <c r="DQ7">
        <v>4446</v>
      </c>
      <c r="DR7">
        <v>415</v>
      </c>
      <c r="DS7">
        <v>416</v>
      </c>
      <c r="DX7">
        <v>4457</v>
      </c>
      <c r="DY7">
        <v>4453</v>
      </c>
      <c r="DZ7">
        <v>417</v>
      </c>
      <c r="EA7">
        <v>416</v>
      </c>
      <c r="EB7" s="1">
        <v>46107.883240740739</v>
      </c>
      <c r="EG7" s="1">
        <v>46107.925740740742</v>
      </c>
      <c r="EJ7" s="1">
        <v>46107.935300925928</v>
      </c>
      <c r="EK7">
        <v>0.04</v>
      </c>
      <c r="EL7">
        <v>911</v>
      </c>
      <c r="EM7">
        <v>3029</v>
      </c>
      <c r="EQ7">
        <v>11.65</v>
      </c>
      <c r="ER7">
        <v>3</v>
      </c>
      <c r="ES7">
        <v>2926</v>
      </c>
      <c r="ET7">
        <v>0</v>
      </c>
      <c r="EU7">
        <v>0</v>
      </c>
      <c r="EV7">
        <v>2903</v>
      </c>
      <c r="EW7">
        <v>0</v>
      </c>
      <c r="EX7">
        <v>0</v>
      </c>
      <c r="EY7">
        <v>2883</v>
      </c>
      <c r="EZ7">
        <v>0</v>
      </c>
      <c r="FA7">
        <v>0</v>
      </c>
      <c r="FB7">
        <v>2876</v>
      </c>
      <c r="FC7">
        <v>8.1999999999999993</v>
      </c>
      <c r="FJ7" t="s">
        <v>632</v>
      </c>
      <c r="FK7">
        <v>114</v>
      </c>
      <c r="FL7" s="1">
        <v>46107.93509259259</v>
      </c>
      <c r="FM7">
        <v>174</v>
      </c>
      <c r="FN7" t="s">
        <v>615</v>
      </c>
      <c r="FO7" t="s">
        <v>615</v>
      </c>
      <c r="FP7">
        <v>174</v>
      </c>
      <c r="FQ7" t="s">
        <v>615</v>
      </c>
      <c r="FR7" t="s">
        <v>615</v>
      </c>
      <c r="FS7" t="s">
        <v>616</v>
      </c>
      <c r="FT7" t="s">
        <v>572</v>
      </c>
      <c r="FV7" t="s">
        <v>573</v>
      </c>
      <c r="FW7" t="b">
        <v>0</v>
      </c>
      <c r="GA7" t="s">
        <v>633</v>
      </c>
      <c r="GB7">
        <v>18487</v>
      </c>
      <c r="GC7" s="1">
        <v>46107.829155092593</v>
      </c>
      <c r="GD7" t="s">
        <v>590</v>
      </c>
      <c r="GE7" t="s">
        <v>626</v>
      </c>
      <c r="GF7">
        <v>135</v>
      </c>
      <c r="GG7">
        <v>79</v>
      </c>
      <c r="GH7">
        <v>77</v>
      </c>
      <c r="GI7" t="s">
        <v>574</v>
      </c>
      <c r="GJ7">
        <v>247.96</v>
      </c>
      <c r="GL7">
        <v>2379</v>
      </c>
      <c r="GN7" t="s">
        <v>627</v>
      </c>
      <c r="GP7">
        <v>2379</v>
      </c>
      <c r="GR7" t="s">
        <v>627</v>
      </c>
      <c r="HI7" s="2">
        <v>46107</v>
      </c>
      <c r="HJ7" t="s">
        <v>575</v>
      </c>
      <c r="HK7" t="s">
        <v>576</v>
      </c>
      <c r="HM7">
        <v>3</v>
      </c>
      <c r="HN7">
        <v>2</v>
      </c>
      <c r="HV7">
        <v>1</v>
      </c>
      <c r="HW7" t="b">
        <v>0</v>
      </c>
      <c r="IB7">
        <v>2860</v>
      </c>
      <c r="IE7" t="s">
        <v>634</v>
      </c>
      <c r="II7">
        <v>1</v>
      </c>
      <c r="IJ7">
        <v>2760</v>
      </c>
      <c r="IK7">
        <v>40</v>
      </c>
      <c r="IL7">
        <v>39</v>
      </c>
      <c r="IM7">
        <v>43</v>
      </c>
      <c r="IN7" t="s">
        <v>594</v>
      </c>
      <c r="IO7" t="s">
        <v>635</v>
      </c>
      <c r="IP7" t="s">
        <v>635</v>
      </c>
      <c r="IR7">
        <v>3</v>
      </c>
      <c r="IT7" t="s">
        <v>628</v>
      </c>
      <c r="IV7">
        <v>28444</v>
      </c>
      <c r="IW7">
        <v>28443</v>
      </c>
      <c r="IX7">
        <v>28469</v>
      </c>
      <c r="IY7">
        <v>267.22103600000003</v>
      </c>
      <c r="IZ7">
        <v>0</v>
      </c>
      <c r="JA7">
        <v>1.1000000000000001</v>
      </c>
      <c r="JB7">
        <v>0</v>
      </c>
      <c r="JC7">
        <v>1.3361050000000001</v>
      </c>
      <c r="JD7">
        <v>268.557141</v>
      </c>
      <c r="JE7">
        <v>269.65714100000002</v>
      </c>
      <c r="JF7">
        <v>99.096500000000006</v>
      </c>
      <c r="JG7">
        <v>0</v>
      </c>
      <c r="JH7">
        <v>0</v>
      </c>
      <c r="JI7">
        <v>0</v>
      </c>
      <c r="JJ7">
        <v>0</v>
      </c>
      <c r="JK7">
        <v>0</v>
      </c>
      <c r="JL7">
        <v>74.8</v>
      </c>
      <c r="JM7">
        <v>9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10</v>
      </c>
      <c r="JU7">
        <v>0</v>
      </c>
      <c r="JV7">
        <v>0</v>
      </c>
      <c r="JW7">
        <v>534442.07299999997</v>
      </c>
      <c r="JX7">
        <v>2780</v>
      </c>
      <c r="JY7">
        <v>74.8</v>
      </c>
      <c r="JZ7">
        <v>9.0625</v>
      </c>
      <c r="KA7">
        <v>0</v>
      </c>
      <c r="KB7">
        <v>267.22103600000003</v>
      </c>
      <c r="KC7">
        <v>1.3361050000000001</v>
      </c>
      <c r="KD7">
        <v>0</v>
      </c>
      <c r="KE7">
        <v>0</v>
      </c>
      <c r="KF7">
        <v>0</v>
      </c>
      <c r="KG7">
        <v>1.1000000000000001</v>
      </c>
      <c r="KH7">
        <v>0</v>
      </c>
      <c r="KI7">
        <v>0</v>
      </c>
      <c r="KJ7" t="s">
        <v>615</v>
      </c>
      <c r="KK7">
        <v>0.28360000000000002</v>
      </c>
      <c r="KL7">
        <v>28444</v>
      </c>
      <c r="KM7">
        <v>220660</v>
      </c>
      <c r="KN7">
        <v>54740</v>
      </c>
      <c r="KP7">
        <v>209840</v>
      </c>
      <c r="KX7">
        <v>53400</v>
      </c>
      <c r="LD7">
        <v>51360</v>
      </c>
      <c r="MD7">
        <v>54520</v>
      </c>
      <c r="MP7">
        <v>224359</v>
      </c>
      <c r="MQ7">
        <v>52790</v>
      </c>
      <c r="MS7">
        <v>190959</v>
      </c>
      <c r="MZ7">
        <v>52790</v>
      </c>
      <c r="NA7">
        <v>52790</v>
      </c>
      <c r="OG7">
        <v>52790</v>
      </c>
      <c r="OT7">
        <v>4023</v>
      </c>
      <c r="PA7">
        <v>684</v>
      </c>
      <c r="PB7">
        <v>4056</v>
      </c>
      <c r="PC7">
        <v>478924</v>
      </c>
      <c r="PD7">
        <v>51553</v>
      </c>
      <c r="PE7">
        <v>11893</v>
      </c>
      <c r="PG7">
        <v>3</v>
      </c>
      <c r="PJ7">
        <v>26246</v>
      </c>
      <c r="PM7">
        <v>15607</v>
      </c>
      <c r="PN7">
        <v>2724</v>
      </c>
      <c r="PS7">
        <v>500</v>
      </c>
      <c r="PV7">
        <v>2986</v>
      </c>
      <c r="PW7">
        <v>6583</v>
      </c>
      <c r="PX7">
        <v>906</v>
      </c>
      <c r="PY7">
        <v>2697</v>
      </c>
      <c r="QD7">
        <v>400</v>
      </c>
      <c r="QE7">
        <v>949</v>
      </c>
      <c r="QK7">
        <v>5</v>
      </c>
      <c r="QM7">
        <v>6</v>
      </c>
      <c r="QS7">
        <v>847</v>
      </c>
      <c r="QX7">
        <v>375</v>
      </c>
      <c r="SE7" s="1">
        <v>46086.322222222225</v>
      </c>
      <c r="SF7">
        <v>28444</v>
      </c>
      <c r="SG7">
        <v>408094</v>
      </c>
      <c r="SH7">
        <v>20</v>
      </c>
      <c r="SI7" t="s">
        <v>567</v>
      </c>
      <c r="SJ7">
        <v>50</v>
      </c>
      <c r="SK7" s="1">
        <v>46107.885289351849</v>
      </c>
      <c r="SZ7">
        <v>0.14299999999999999</v>
      </c>
      <c r="TA7">
        <v>1.373</v>
      </c>
      <c r="TB7">
        <v>1.12E-2</v>
      </c>
      <c r="TC7">
        <v>1.6999999999999999E-3</v>
      </c>
      <c r="TD7">
        <v>0.23200000000000001</v>
      </c>
      <c r="TE7">
        <v>9.4E-2</v>
      </c>
      <c r="TF7">
        <v>6.3E-2</v>
      </c>
      <c r="TG7">
        <v>6.3E-2</v>
      </c>
      <c r="TH7">
        <v>1.0999999999999999E-2</v>
      </c>
      <c r="TI7">
        <v>0.03</v>
      </c>
      <c r="TJ7">
        <v>7.0000000000000001E-3</v>
      </c>
      <c r="TK7">
        <v>2.9134600000000002</v>
      </c>
      <c r="TL7">
        <v>6.2E-2</v>
      </c>
      <c r="TM7" t="s">
        <v>568</v>
      </c>
      <c r="TN7">
        <v>1.6999999999999999E-3</v>
      </c>
      <c r="TO7">
        <v>7.9000000000000008E-3</v>
      </c>
      <c r="TP7" t="s">
        <v>569</v>
      </c>
      <c r="TQ7">
        <v>1.04E-2</v>
      </c>
      <c r="TR7" t="s">
        <v>570</v>
      </c>
      <c r="TS7" t="s">
        <v>578</v>
      </c>
      <c r="TU7">
        <v>0.23569999999999999</v>
      </c>
      <c r="TV7">
        <v>7.3000000000000001E-3</v>
      </c>
      <c r="UD7">
        <v>0.41</v>
      </c>
      <c r="UE7">
        <v>0.44819999999999999</v>
      </c>
      <c r="UF7">
        <v>0.76</v>
      </c>
      <c r="UH7">
        <v>3.2000000000000003E-4</v>
      </c>
      <c r="UJ7">
        <v>0.2477</v>
      </c>
      <c r="UK7">
        <v>0.15</v>
      </c>
      <c r="UL7">
        <v>0.22</v>
      </c>
      <c r="UM7">
        <v>7.0400000000000004E-2</v>
      </c>
      <c r="UN7">
        <v>0.23100000000000001</v>
      </c>
      <c r="UO7">
        <v>2.9601999999999999</v>
      </c>
      <c r="UP7">
        <v>1.49</v>
      </c>
      <c r="UQ7">
        <v>0.67</v>
      </c>
      <c r="UR7" s="1">
        <v>46086.322222222225</v>
      </c>
    </row>
    <row r="8" spans="1:564" x14ac:dyDescent="0.35">
      <c r="A8">
        <v>28445</v>
      </c>
      <c r="B8">
        <v>18488</v>
      </c>
      <c r="C8">
        <v>850</v>
      </c>
      <c r="D8">
        <v>26130</v>
      </c>
      <c r="G8" t="s">
        <v>614</v>
      </c>
      <c r="H8">
        <v>500000</v>
      </c>
      <c r="L8" t="s">
        <v>586</v>
      </c>
      <c r="M8">
        <v>74.8</v>
      </c>
      <c r="N8">
        <v>308</v>
      </c>
      <c r="O8" t="s">
        <v>690</v>
      </c>
      <c r="P8">
        <v>2</v>
      </c>
      <c r="S8" s="1">
        <v>46107.757465277777</v>
      </c>
      <c r="U8">
        <v>71</v>
      </c>
      <c r="W8">
        <v>12</v>
      </c>
      <c r="X8">
        <v>494021</v>
      </c>
      <c r="Y8" s="1">
        <v>46107.815648148149</v>
      </c>
      <c r="AB8">
        <v>91873</v>
      </c>
      <c r="AC8">
        <v>272</v>
      </c>
      <c r="AD8">
        <v>1080</v>
      </c>
      <c r="AE8">
        <v>184000</v>
      </c>
      <c r="AF8">
        <v>0.04</v>
      </c>
      <c r="AG8">
        <v>922</v>
      </c>
      <c r="AH8">
        <v>3009</v>
      </c>
      <c r="AL8">
        <v>2</v>
      </c>
      <c r="AM8" t="s">
        <v>691</v>
      </c>
      <c r="AO8" s="1">
        <v>46107.836909722224</v>
      </c>
      <c r="AP8">
        <v>2</v>
      </c>
      <c r="AS8" s="1">
        <v>46107.816562499997</v>
      </c>
      <c r="AT8" s="1">
        <v>46107.866342592592</v>
      </c>
      <c r="AU8">
        <v>9</v>
      </c>
      <c r="AV8">
        <v>57</v>
      </c>
      <c r="AY8">
        <v>505082</v>
      </c>
      <c r="AZ8">
        <v>494021</v>
      </c>
      <c r="BA8">
        <v>900</v>
      </c>
      <c r="BB8">
        <v>2982</v>
      </c>
      <c r="BC8">
        <v>2860</v>
      </c>
      <c r="BD8">
        <v>0</v>
      </c>
      <c r="BG8" s="1">
        <v>46107.866736111115</v>
      </c>
      <c r="BH8" s="1">
        <v>46107.87431712963</v>
      </c>
      <c r="BI8" s="1">
        <v>46107.925752314812</v>
      </c>
      <c r="BJ8" s="1">
        <v>46107.972962962966</v>
      </c>
      <c r="BK8">
        <v>1.1000000000000001</v>
      </c>
      <c r="BM8">
        <v>4117</v>
      </c>
      <c r="BS8" t="s">
        <v>692</v>
      </c>
      <c r="BT8" s="1">
        <v>46107.884039351855</v>
      </c>
      <c r="BU8" s="1">
        <v>46107.934733796297</v>
      </c>
      <c r="BV8" t="b">
        <v>0</v>
      </c>
      <c r="BX8">
        <v>1</v>
      </c>
      <c r="BY8" t="b">
        <v>0</v>
      </c>
      <c r="CD8">
        <v>0.9</v>
      </c>
      <c r="CF8" s="1">
        <v>46107.640960648147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b">
        <v>0</v>
      </c>
      <c r="CM8" t="b">
        <v>0</v>
      </c>
      <c r="CN8" t="b">
        <v>0</v>
      </c>
      <c r="CP8">
        <v>6</v>
      </c>
      <c r="CR8">
        <v>2</v>
      </c>
      <c r="CS8">
        <v>2798</v>
      </c>
      <c r="CT8">
        <v>2794</v>
      </c>
      <c r="CU8">
        <v>2792</v>
      </c>
      <c r="CZ8">
        <v>5.49</v>
      </c>
      <c r="DA8">
        <v>5.31</v>
      </c>
      <c r="DB8">
        <v>8.24</v>
      </c>
      <c r="DC8">
        <v>7.83</v>
      </c>
      <c r="DH8">
        <v>4436</v>
      </c>
      <c r="DI8">
        <v>4440</v>
      </c>
      <c r="DJ8">
        <v>416</v>
      </c>
      <c r="DK8">
        <v>416</v>
      </c>
      <c r="DP8">
        <v>4444</v>
      </c>
      <c r="DQ8">
        <v>4457</v>
      </c>
      <c r="DR8">
        <v>417</v>
      </c>
      <c r="DS8">
        <v>416</v>
      </c>
      <c r="DX8">
        <v>4430</v>
      </c>
      <c r="DY8">
        <v>4430</v>
      </c>
      <c r="DZ8">
        <v>414</v>
      </c>
      <c r="EA8">
        <v>415</v>
      </c>
      <c r="EB8" s="1">
        <v>46107.935671296298</v>
      </c>
      <c r="EG8" s="1">
        <v>46107.972962962966</v>
      </c>
      <c r="EJ8" s="1">
        <v>46108.349675925929</v>
      </c>
      <c r="EQ8">
        <v>7.17</v>
      </c>
      <c r="ER8">
        <v>5</v>
      </c>
      <c r="ES8">
        <v>2982</v>
      </c>
      <c r="ET8">
        <v>0</v>
      </c>
      <c r="EU8">
        <v>0</v>
      </c>
      <c r="EV8">
        <v>2886</v>
      </c>
      <c r="EW8">
        <v>0</v>
      </c>
      <c r="EX8">
        <v>0</v>
      </c>
      <c r="EY8">
        <v>2885</v>
      </c>
      <c r="EZ8">
        <v>0</v>
      </c>
      <c r="FA8">
        <v>0</v>
      </c>
      <c r="FB8">
        <v>2883</v>
      </c>
      <c r="FC8">
        <v>8.6</v>
      </c>
      <c r="FJ8" t="s">
        <v>693</v>
      </c>
      <c r="FK8">
        <v>114</v>
      </c>
      <c r="FL8" s="1">
        <v>46108.34946759259</v>
      </c>
      <c r="FM8">
        <v>174</v>
      </c>
      <c r="FN8" t="s">
        <v>615</v>
      </c>
      <c r="FO8" t="s">
        <v>615</v>
      </c>
      <c r="FP8">
        <v>174</v>
      </c>
      <c r="FQ8" t="s">
        <v>615</v>
      </c>
      <c r="FR8" t="s">
        <v>615</v>
      </c>
      <c r="FS8" t="s">
        <v>616</v>
      </c>
      <c r="FV8" t="s">
        <v>573</v>
      </c>
      <c r="FW8" t="b">
        <v>0</v>
      </c>
      <c r="GA8" t="s">
        <v>694</v>
      </c>
      <c r="GB8">
        <v>18488</v>
      </c>
      <c r="GC8" s="1">
        <v>46107.884039351855</v>
      </c>
      <c r="GD8" t="s">
        <v>590</v>
      </c>
      <c r="GE8" t="s">
        <v>617</v>
      </c>
      <c r="GF8">
        <v>84</v>
      </c>
      <c r="GG8">
        <v>72</v>
      </c>
      <c r="GH8">
        <v>68</v>
      </c>
      <c r="GI8" t="s">
        <v>565</v>
      </c>
      <c r="GJ8">
        <v>247.01</v>
      </c>
      <c r="GL8">
        <v>2378</v>
      </c>
      <c r="GN8" t="s">
        <v>618</v>
      </c>
      <c r="GP8">
        <v>2378</v>
      </c>
      <c r="GR8" t="s">
        <v>618</v>
      </c>
      <c r="HI8" s="2">
        <v>46107</v>
      </c>
      <c r="HJ8" t="s">
        <v>575</v>
      </c>
      <c r="HK8" t="s">
        <v>576</v>
      </c>
      <c r="HM8">
        <v>4</v>
      </c>
      <c r="HN8">
        <v>2</v>
      </c>
      <c r="HV8">
        <v>1</v>
      </c>
      <c r="HW8" t="b">
        <v>0</v>
      </c>
      <c r="IB8">
        <v>2860</v>
      </c>
      <c r="IJ8">
        <v>2760</v>
      </c>
      <c r="IK8">
        <v>38</v>
      </c>
      <c r="IL8">
        <v>34</v>
      </c>
      <c r="IM8">
        <v>32</v>
      </c>
      <c r="IN8" t="s">
        <v>594</v>
      </c>
      <c r="IO8" t="s">
        <v>695</v>
      </c>
      <c r="IP8" t="s">
        <v>695</v>
      </c>
      <c r="IT8" t="s">
        <v>620</v>
      </c>
      <c r="IV8">
        <v>28445</v>
      </c>
      <c r="IW8">
        <v>28443</v>
      </c>
      <c r="IX8">
        <v>28469</v>
      </c>
      <c r="IY8">
        <v>236.846271</v>
      </c>
      <c r="IZ8">
        <v>0</v>
      </c>
      <c r="JA8">
        <v>1.1000000000000001</v>
      </c>
      <c r="JB8">
        <v>0</v>
      </c>
      <c r="JC8">
        <v>1.184231</v>
      </c>
      <c r="JD8">
        <v>238.03050200000001</v>
      </c>
      <c r="JE8">
        <v>239.13050200000001</v>
      </c>
      <c r="JF8">
        <v>99.044700000000006</v>
      </c>
      <c r="JG8">
        <v>0</v>
      </c>
      <c r="JH8">
        <v>0</v>
      </c>
      <c r="JI8">
        <v>0</v>
      </c>
      <c r="JJ8">
        <v>0</v>
      </c>
      <c r="JK8">
        <v>0</v>
      </c>
      <c r="JL8">
        <v>74.8</v>
      </c>
      <c r="JM8">
        <v>9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8</v>
      </c>
      <c r="JU8">
        <v>0</v>
      </c>
      <c r="JV8">
        <v>0</v>
      </c>
      <c r="JW8">
        <v>473692.54239999998</v>
      </c>
      <c r="JX8">
        <v>2464</v>
      </c>
      <c r="JY8">
        <v>74.8</v>
      </c>
      <c r="JZ8">
        <v>9.0625</v>
      </c>
      <c r="KA8">
        <v>0</v>
      </c>
      <c r="KB8">
        <v>236.846271</v>
      </c>
      <c r="KC8">
        <v>1.184231</v>
      </c>
      <c r="KD8">
        <v>0</v>
      </c>
      <c r="KE8">
        <v>0</v>
      </c>
      <c r="KF8">
        <v>0</v>
      </c>
      <c r="KG8">
        <v>1.1000000000000001</v>
      </c>
      <c r="KH8">
        <v>0</v>
      </c>
      <c r="KI8">
        <v>0</v>
      </c>
      <c r="KJ8" t="s">
        <v>615</v>
      </c>
      <c r="KK8">
        <v>0.28360000000000002</v>
      </c>
      <c r="KL8">
        <v>28445</v>
      </c>
      <c r="KM8">
        <v>182740</v>
      </c>
      <c r="KN8">
        <v>40580</v>
      </c>
      <c r="KP8">
        <v>195900</v>
      </c>
      <c r="KX8">
        <v>44900</v>
      </c>
      <c r="LD8">
        <v>44420</v>
      </c>
      <c r="MD8">
        <v>43780</v>
      </c>
      <c r="MP8">
        <v>187420</v>
      </c>
      <c r="MQ8">
        <v>44099</v>
      </c>
      <c r="MS8">
        <v>180035</v>
      </c>
      <c r="MZ8">
        <v>44099</v>
      </c>
      <c r="NA8">
        <v>44099</v>
      </c>
      <c r="OG8">
        <v>44099</v>
      </c>
      <c r="OT8">
        <v>3814</v>
      </c>
      <c r="PA8">
        <v>692</v>
      </c>
      <c r="PB8">
        <v>3856</v>
      </c>
      <c r="PC8">
        <v>413433</v>
      </c>
      <c r="PD8">
        <v>41954</v>
      </c>
      <c r="PE8">
        <v>8843</v>
      </c>
      <c r="PG8">
        <v>1</v>
      </c>
      <c r="PJ8">
        <v>19169</v>
      </c>
      <c r="PM8">
        <v>15591</v>
      </c>
      <c r="PN8">
        <v>1918</v>
      </c>
      <c r="PS8">
        <v>500</v>
      </c>
      <c r="PV8">
        <v>2706</v>
      </c>
      <c r="PW8">
        <v>6249</v>
      </c>
      <c r="PX8">
        <v>756</v>
      </c>
      <c r="PY8">
        <v>4000</v>
      </c>
      <c r="QD8">
        <v>300</v>
      </c>
      <c r="QE8">
        <v>849</v>
      </c>
      <c r="QK8">
        <v>7</v>
      </c>
      <c r="QM8">
        <v>6</v>
      </c>
      <c r="QS8">
        <v>1156</v>
      </c>
      <c r="QW8">
        <v>190</v>
      </c>
      <c r="QX8">
        <v>386</v>
      </c>
      <c r="SE8" s="1">
        <v>46086.322222222225</v>
      </c>
      <c r="SF8">
        <v>28445</v>
      </c>
      <c r="SG8">
        <v>408113</v>
      </c>
      <c r="SH8">
        <v>20</v>
      </c>
      <c r="SI8" t="s">
        <v>567</v>
      </c>
      <c r="SJ8">
        <v>50</v>
      </c>
      <c r="SK8" s="1">
        <v>46107.95988425926</v>
      </c>
      <c r="SZ8">
        <v>0.151</v>
      </c>
      <c r="TA8">
        <v>1.389</v>
      </c>
      <c r="TB8">
        <v>1.12E-2</v>
      </c>
      <c r="TC8" t="s">
        <v>568</v>
      </c>
      <c r="TD8">
        <v>0.217</v>
      </c>
      <c r="TE8">
        <v>0.107</v>
      </c>
      <c r="TF8">
        <v>5.0999999999999997E-2</v>
      </c>
      <c r="TG8">
        <v>9.8000000000000004E-2</v>
      </c>
      <c r="TH8">
        <v>1.2999999999999999E-2</v>
      </c>
      <c r="TI8">
        <v>2.5999999999999999E-2</v>
      </c>
      <c r="TJ8">
        <v>8.0000000000000002E-3</v>
      </c>
      <c r="TK8">
        <v>3.6527799999999999</v>
      </c>
      <c r="TL8">
        <v>6.7000000000000004E-2</v>
      </c>
      <c r="TM8">
        <v>1.1000000000000001E-3</v>
      </c>
      <c r="TN8">
        <v>2.0999999999999999E-3</v>
      </c>
      <c r="TO8">
        <v>5.7000000000000002E-3</v>
      </c>
      <c r="TP8" t="s">
        <v>569</v>
      </c>
      <c r="TQ8">
        <v>7.1999999999999998E-3</v>
      </c>
      <c r="TR8" t="s">
        <v>570</v>
      </c>
      <c r="TS8" t="s">
        <v>578</v>
      </c>
      <c r="TU8">
        <v>0.245</v>
      </c>
      <c r="TV8">
        <v>7.7999999999999996E-3</v>
      </c>
      <c r="UD8">
        <v>0.42</v>
      </c>
      <c r="UE8">
        <v>0.4582</v>
      </c>
      <c r="UF8">
        <v>0.79</v>
      </c>
      <c r="UH8">
        <v>1.9000000000000001E-4</v>
      </c>
      <c r="UJ8">
        <v>0.28449999999999998</v>
      </c>
      <c r="UK8">
        <v>0.17</v>
      </c>
      <c r="UL8">
        <v>0.26</v>
      </c>
      <c r="UM8">
        <v>7.3800000000000004E-2</v>
      </c>
      <c r="UN8">
        <v>0.26900000000000002</v>
      </c>
      <c r="UO8">
        <v>3.2726999999999999</v>
      </c>
      <c r="UP8">
        <v>1.0900000000000001</v>
      </c>
      <c r="UQ8">
        <v>0.92</v>
      </c>
      <c r="UR8" s="1">
        <v>46086.322222222225</v>
      </c>
    </row>
    <row r="9" spans="1:564" x14ac:dyDescent="0.35">
      <c r="A9">
        <v>28446</v>
      </c>
      <c r="B9">
        <v>18477</v>
      </c>
      <c r="C9">
        <v>850</v>
      </c>
      <c r="D9">
        <v>26130</v>
      </c>
      <c r="G9" t="s">
        <v>614</v>
      </c>
      <c r="H9">
        <v>500000</v>
      </c>
      <c r="I9" s="1">
        <v>46107.349768518521</v>
      </c>
      <c r="L9" t="s">
        <v>586</v>
      </c>
      <c r="M9">
        <v>74.8</v>
      </c>
      <c r="N9">
        <v>278</v>
      </c>
      <c r="O9" t="s">
        <v>596</v>
      </c>
      <c r="P9">
        <v>13</v>
      </c>
      <c r="S9" s="1">
        <v>46107.06695601852</v>
      </c>
      <c r="U9">
        <v>51</v>
      </c>
      <c r="W9">
        <v>10</v>
      </c>
      <c r="X9">
        <v>466616</v>
      </c>
      <c r="Y9" s="1">
        <v>46107.109988425924</v>
      </c>
      <c r="AB9">
        <v>68584</v>
      </c>
      <c r="AC9">
        <v>261</v>
      </c>
      <c r="AD9">
        <v>1069</v>
      </c>
      <c r="AE9">
        <v>182160</v>
      </c>
      <c r="AF9">
        <v>0</v>
      </c>
      <c r="AG9">
        <v>1875</v>
      </c>
      <c r="AH9">
        <v>32</v>
      </c>
      <c r="AI9">
        <v>0.06</v>
      </c>
      <c r="AJ9">
        <v>551</v>
      </c>
      <c r="AK9">
        <v>2953</v>
      </c>
      <c r="AL9">
        <v>1</v>
      </c>
      <c r="AM9">
        <v>628</v>
      </c>
      <c r="AN9" t="s">
        <v>801</v>
      </c>
      <c r="AO9" s="1">
        <v>46107.271249999998</v>
      </c>
      <c r="AP9">
        <v>2</v>
      </c>
      <c r="AS9" s="1">
        <v>46107.118483796294</v>
      </c>
      <c r="AT9" s="1">
        <v>46107.270624999997</v>
      </c>
      <c r="AU9">
        <v>17</v>
      </c>
      <c r="AV9">
        <v>58</v>
      </c>
      <c r="AY9">
        <v>475918</v>
      </c>
      <c r="AZ9">
        <v>466616</v>
      </c>
      <c r="BA9">
        <v>388660</v>
      </c>
      <c r="BB9">
        <v>2913</v>
      </c>
      <c r="BC9">
        <v>2946</v>
      </c>
      <c r="BD9">
        <v>0</v>
      </c>
      <c r="BG9" s="1">
        <v>46107.271377314813</v>
      </c>
      <c r="BH9" s="1">
        <v>46107.174814814818</v>
      </c>
      <c r="BI9" s="1">
        <v>46107.207372685189</v>
      </c>
      <c r="BJ9" s="1">
        <v>46107.260277777779</v>
      </c>
      <c r="BK9">
        <v>1.1000000000000001</v>
      </c>
      <c r="BL9">
        <v>8</v>
      </c>
      <c r="BM9">
        <v>4115</v>
      </c>
      <c r="BT9" s="1">
        <v>46107.179675925923</v>
      </c>
      <c r="BU9" s="1">
        <v>46107.224120370367</v>
      </c>
      <c r="BV9" t="b">
        <v>0</v>
      </c>
      <c r="BX9">
        <v>6</v>
      </c>
      <c r="BY9" t="b">
        <v>0</v>
      </c>
      <c r="CD9">
        <v>1</v>
      </c>
      <c r="CG9" t="b">
        <v>0</v>
      </c>
      <c r="CH9" t="b">
        <v>0</v>
      </c>
      <c r="CI9" t="b">
        <v>0</v>
      </c>
      <c r="CJ9" t="b">
        <v>0</v>
      </c>
      <c r="CK9" t="b">
        <v>0</v>
      </c>
      <c r="CL9" t="b">
        <v>0</v>
      </c>
      <c r="CM9" t="b">
        <v>0</v>
      </c>
      <c r="CN9" t="b">
        <v>0</v>
      </c>
      <c r="CP9">
        <v>6</v>
      </c>
      <c r="CR9">
        <v>2</v>
      </c>
      <c r="CS9">
        <v>2793</v>
      </c>
      <c r="CT9">
        <v>2802</v>
      </c>
      <c r="CU9">
        <v>2812</v>
      </c>
      <c r="CZ9">
        <v>6.62</v>
      </c>
      <c r="DA9">
        <v>6.83</v>
      </c>
      <c r="DB9">
        <v>8.39</v>
      </c>
      <c r="DC9">
        <v>8.06</v>
      </c>
      <c r="DH9">
        <v>4448</v>
      </c>
      <c r="DI9">
        <v>4452</v>
      </c>
      <c r="DJ9">
        <v>416</v>
      </c>
      <c r="DK9">
        <v>415</v>
      </c>
      <c r="DP9">
        <v>4453</v>
      </c>
      <c r="DQ9">
        <v>4442</v>
      </c>
      <c r="DR9">
        <v>416</v>
      </c>
      <c r="DS9">
        <v>416</v>
      </c>
      <c r="DX9">
        <v>4443</v>
      </c>
      <c r="DY9">
        <v>4470</v>
      </c>
      <c r="DZ9">
        <v>418</v>
      </c>
      <c r="EA9">
        <v>415</v>
      </c>
      <c r="EB9" s="1">
        <v>46107.271249999998</v>
      </c>
      <c r="EF9">
        <v>50</v>
      </c>
      <c r="EG9" s="1">
        <v>46107.260277777779</v>
      </c>
      <c r="EJ9" s="1">
        <v>46107.350682870368</v>
      </c>
      <c r="EK9">
        <v>0.05</v>
      </c>
      <c r="EL9">
        <v>769</v>
      </c>
      <c r="EM9">
        <v>3034</v>
      </c>
      <c r="EQ9">
        <v>11.57</v>
      </c>
      <c r="ER9">
        <v>3</v>
      </c>
      <c r="ES9">
        <v>2913</v>
      </c>
      <c r="ET9">
        <v>0</v>
      </c>
      <c r="EU9">
        <v>0</v>
      </c>
      <c r="EV9">
        <v>2914</v>
      </c>
      <c r="EW9">
        <v>0</v>
      </c>
      <c r="EX9">
        <v>0</v>
      </c>
      <c r="EY9">
        <v>2879</v>
      </c>
      <c r="EZ9">
        <v>0</v>
      </c>
      <c r="FA9">
        <v>0</v>
      </c>
      <c r="FB9">
        <v>2869</v>
      </c>
      <c r="FC9">
        <v>6.8</v>
      </c>
      <c r="FJ9" t="s">
        <v>802</v>
      </c>
      <c r="FK9">
        <v>267</v>
      </c>
      <c r="FL9" s="1">
        <v>46107.350474537037</v>
      </c>
      <c r="FM9">
        <v>174</v>
      </c>
      <c r="FN9" t="s">
        <v>615</v>
      </c>
      <c r="FO9" t="s">
        <v>615</v>
      </c>
      <c r="FP9">
        <v>174</v>
      </c>
      <c r="FQ9" t="s">
        <v>615</v>
      </c>
      <c r="FR9" t="s">
        <v>615</v>
      </c>
      <c r="FS9" t="s">
        <v>616</v>
      </c>
      <c r="FT9" t="s">
        <v>572</v>
      </c>
      <c r="FV9" t="s">
        <v>573</v>
      </c>
      <c r="FW9" t="b">
        <v>0</v>
      </c>
      <c r="GA9" t="s">
        <v>803</v>
      </c>
      <c r="GB9">
        <v>18477</v>
      </c>
      <c r="GC9" s="1">
        <v>46107.179675925923</v>
      </c>
      <c r="GD9" t="s">
        <v>590</v>
      </c>
      <c r="GE9" t="s">
        <v>626</v>
      </c>
      <c r="GF9">
        <v>62</v>
      </c>
      <c r="GG9">
        <v>219</v>
      </c>
      <c r="GH9">
        <v>76</v>
      </c>
      <c r="GI9" t="s">
        <v>565</v>
      </c>
      <c r="GJ9">
        <v>233.31</v>
      </c>
      <c r="GL9">
        <v>48</v>
      </c>
      <c r="GN9" t="s">
        <v>640</v>
      </c>
      <c r="GP9">
        <v>2379</v>
      </c>
      <c r="GR9" t="s">
        <v>627</v>
      </c>
      <c r="GT9">
        <v>1938</v>
      </c>
      <c r="GV9">
        <v>10.4</v>
      </c>
      <c r="GX9">
        <v>11.1</v>
      </c>
      <c r="GZ9">
        <v>9.3000000000000007</v>
      </c>
      <c r="HB9">
        <v>9.1</v>
      </c>
      <c r="HD9">
        <v>74.75</v>
      </c>
      <c r="HF9">
        <v>75</v>
      </c>
      <c r="HI9" s="2">
        <v>46107</v>
      </c>
      <c r="HJ9" t="s">
        <v>575</v>
      </c>
      <c r="HK9" t="s">
        <v>537</v>
      </c>
      <c r="HM9">
        <v>9</v>
      </c>
      <c r="HN9">
        <v>2</v>
      </c>
      <c r="HV9">
        <v>1</v>
      </c>
      <c r="HW9" t="b">
        <v>1</v>
      </c>
      <c r="HX9" s="1">
        <v>46107.235949074071</v>
      </c>
      <c r="HY9" t="b">
        <v>0</v>
      </c>
      <c r="IB9">
        <v>2860</v>
      </c>
      <c r="IJ9">
        <v>2760</v>
      </c>
      <c r="IK9">
        <v>33</v>
      </c>
      <c r="IL9">
        <v>42</v>
      </c>
      <c r="IM9">
        <v>52</v>
      </c>
      <c r="IN9" t="s">
        <v>594</v>
      </c>
      <c r="IO9" t="s">
        <v>619</v>
      </c>
      <c r="IP9" t="s">
        <v>619</v>
      </c>
      <c r="IR9">
        <v>3</v>
      </c>
      <c r="IT9" t="s">
        <v>641</v>
      </c>
      <c r="IU9" s="1">
        <v>46107.260266203702</v>
      </c>
      <c r="IV9">
        <v>28446</v>
      </c>
      <c r="IW9">
        <v>28435</v>
      </c>
      <c r="IX9">
        <v>28446</v>
      </c>
      <c r="IY9">
        <v>272.89227399999999</v>
      </c>
      <c r="IZ9">
        <v>4.806133</v>
      </c>
      <c r="JA9">
        <v>9.1</v>
      </c>
      <c r="JB9">
        <v>0</v>
      </c>
      <c r="JC9">
        <v>1.3884920000000001</v>
      </c>
      <c r="JD9">
        <v>279.08689900000002</v>
      </c>
      <c r="JE9">
        <v>288.18689899999998</v>
      </c>
      <c r="JF9">
        <v>94.692800000000005</v>
      </c>
      <c r="JG9">
        <v>0</v>
      </c>
      <c r="JH9">
        <v>0</v>
      </c>
      <c r="JI9">
        <v>0</v>
      </c>
      <c r="JJ9">
        <v>0</v>
      </c>
      <c r="JK9">
        <v>0</v>
      </c>
      <c r="JL9">
        <v>74.8</v>
      </c>
      <c r="JM9">
        <v>9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10</v>
      </c>
      <c r="JU9">
        <v>0</v>
      </c>
      <c r="JV9">
        <v>50</v>
      </c>
      <c r="JW9">
        <v>545784.54865000001</v>
      </c>
      <c r="JX9">
        <v>2839</v>
      </c>
      <c r="JY9">
        <v>74.8</v>
      </c>
      <c r="JZ9">
        <v>9.0625</v>
      </c>
      <c r="KA9">
        <v>50</v>
      </c>
      <c r="KB9">
        <v>272.89227399999999</v>
      </c>
      <c r="KC9">
        <v>1.3884920000000001</v>
      </c>
      <c r="KD9">
        <v>4.806133</v>
      </c>
      <c r="KE9">
        <v>0</v>
      </c>
      <c r="KF9">
        <v>9612.2674999999999</v>
      </c>
      <c r="KG9">
        <v>1.1000000000000001</v>
      </c>
      <c r="KH9">
        <v>8</v>
      </c>
      <c r="KI9">
        <v>0</v>
      </c>
      <c r="KJ9" t="s">
        <v>615</v>
      </c>
      <c r="KK9">
        <v>0.28360000000000002</v>
      </c>
      <c r="KL9">
        <v>28446</v>
      </c>
      <c r="KM9">
        <v>161540</v>
      </c>
      <c r="KN9">
        <v>37020</v>
      </c>
      <c r="KP9">
        <v>126200</v>
      </c>
      <c r="KX9">
        <v>23180</v>
      </c>
      <c r="LD9">
        <v>33560</v>
      </c>
      <c r="MD9">
        <v>39840</v>
      </c>
      <c r="MP9">
        <v>151217</v>
      </c>
      <c r="MQ9">
        <v>29403</v>
      </c>
      <c r="MR9">
        <v>92410</v>
      </c>
      <c r="MS9">
        <v>166095</v>
      </c>
      <c r="MZ9">
        <v>33603</v>
      </c>
      <c r="NG9">
        <v>33603</v>
      </c>
      <c r="NP9">
        <v>21002</v>
      </c>
      <c r="NY9">
        <v>42004</v>
      </c>
      <c r="OG9">
        <v>33603</v>
      </c>
      <c r="OT9">
        <v>4023</v>
      </c>
      <c r="PA9">
        <v>534</v>
      </c>
      <c r="PB9">
        <v>4017</v>
      </c>
      <c r="PC9">
        <v>317934</v>
      </c>
      <c r="PD9">
        <v>31466</v>
      </c>
      <c r="PE9">
        <v>8396</v>
      </c>
      <c r="PG9">
        <v>3</v>
      </c>
      <c r="PJ9">
        <v>14220</v>
      </c>
      <c r="PM9">
        <v>14273</v>
      </c>
      <c r="PN9">
        <v>1926</v>
      </c>
      <c r="PS9">
        <v>500</v>
      </c>
      <c r="PV9">
        <v>2815</v>
      </c>
      <c r="PW9">
        <v>7488</v>
      </c>
      <c r="PX9">
        <v>1356</v>
      </c>
      <c r="PY9">
        <v>3394</v>
      </c>
      <c r="QE9">
        <v>849</v>
      </c>
      <c r="QK9">
        <v>5</v>
      </c>
      <c r="QM9">
        <v>7</v>
      </c>
      <c r="QS9">
        <v>1050</v>
      </c>
      <c r="QX9">
        <v>350</v>
      </c>
      <c r="QY9">
        <v>100</v>
      </c>
      <c r="SE9" s="1">
        <v>46086.322222222225</v>
      </c>
      <c r="SF9">
        <v>28446</v>
      </c>
      <c r="SG9">
        <v>407846</v>
      </c>
      <c r="SH9">
        <v>20</v>
      </c>
      <c r="SI9" t="s">
        <v>567</v>
      </c>
      <c r="SJ9">
        <v>50</v>
      </c>
      <c r="SK9" s="1">
        <v>46107.21025462963</v>
      </c>
      <c r="SZ9">
        <v>0.14000000000000001</v>
      </c>
      <c r="TA9">
        <v>1.3460000000000001</v>
      </c>
      <c r="TB9">
        <v>9.7000000000000003E-3</v>
      </c>
      <c r="TC9">
        <v>2.3E-3</v>
      </c>
      <c r="TD9">
        <v>0.22500000000000001</v>
      </c>
      <c r="TE9">
        <v>9.4E-2</v>
      </c>
      <c r="TF9">
        <v>5.7000000000000002E-2</v>
      </c>
      <c r="TG9">
        <v>5.2999999999999999E-2</v>
      </c>
      <c r="TH9">
        <v>4.2999999999999997E-2</v>
      </c>
      <c r="TI9">
        <v>0.03</v>
      </c>
      <c r="TJ9">
        <v>7.0000000000000001E-3</v>
      </c>
      <c r="TK9">
        <v>3.25</v>
      </c>
      <c r="TL9">
        <v>6.3E-2</v>
      </c>
      <c r="TM9">
        <v>2.5999999999999999E-3</v>
      </c>
      <c r="TN9">
        <v>2.3E-3</v>
      </c>
      <c r="TO9">
        <v>6.3E-3</v>
      </c>
      <c r="TQ9">
        <v>9.1999999999999998E-3</v>
      </c>
      <c r="TR9" t="s">
        <v>570</v>
      </c>
      <c r="TS9">
        <v>3.6700000000000003E-2</v>
      </c>
      <c r="TU9">
        <v>0.23200000000000001</v>
      </c>
      <c r="TV9">
        <v>4.7999999999999996E-3</v>
      </c>
      <c r="UD9">
        <v>0.41</v>
      </c>
      <c r="UE9">
        <v>0.44379999999999997</v>
      </c>
      <c r="UF9">
        <v>0.68</v>
      </c>
      <c r="UH9">
        <v>2.7999999999999998E-4</v>
      </c>
      <c r="UJ9">
        <v>0.2621</v>
      </c>
      <c r="UK9">
        <v>0.15</v>
      </c>
      <c r="UL9">
        <v>0.2</v>
      </c>
      <c r="UM9">
        <v>7.1900000000000006E-2</v>
      </c>
      <c r="UN9">
        <v>0.247</v>
      </c>
      <c r="UO9">
        <v>2.8858000000000001</v>
      </c>
      <c r="UP9">
        <v>1.77</v>
      </c>
      <c r="UQ9">
        <v>0.56000000000000005</v>
      </c>
      <c r="UR9" s="1">
        <v>46086.322222222225</v>
      </c>
    </row>
    <row r="10" spans="1:564" x14ac:dyDescent="0.35">
      <c r="A10">
        <v>28447</v>
      </c>
      <c r="B10">
        <v>18478</v>
      </c>
      <c r="C10">
        <v>850</v>
      </c>
      <c r="D10">
        <v>26130</v>
      </c>
      <c r="G10" t="s">
        <v>608</v>
      </c>
      <c r="H10">
        <v>500000</v>
      </c>
      <c r="L10" t="s">
        <v>586</v>
      </c>
      <c r="M10">
        <v>74.8</v>
      </c>
      <c r="N10">
        <v>330</v>
      </c>
      <c r="O10" t="s">
        <v>596</v>
      </c>
      <c r="P10">
        <v>14</v>
      </c>
      <c r="S10" s="1">
        <v>46107.109988425924</v>
      </c>
      <c r="U10">
        <v>89</v>
      </c>
      <c r="W10">
        <v>35</v>
      </c>
      <c r="X10">
        <v>495910</v>
      </c>
      <c r="Y10" s="1">
        <v>46107.216747685183</v>
      </c>
      <c r="AB10">
        <v>116013</v>
      </c>
      <c r="AC10">
        <v>262</v>
      </c>
      <c r="AD10">
        <v>1070</v>
      </c>
      <c r="AE10">
        <v>77580</v>
      </c>
      <c r="AF10">
        <v>0.04</v>
      </c>
      <c r="AG10">
        <v>957</v>
      </c>
      <c r="AH10">
        <v>3049</v>
      </c>
      <c r="AL10">
        <v>25</v>
      </c>
      <c r="AM10" t="s">
        <v>804</v>
      </c>
      <c r="AO10" s="1">
        <v>46107.226076388892</v>
      </c>
      <c r="AP10">
        <v>1</v>
      </c>
      <c r="AS10" s="1">
        <v>46107.200729166667</v>
      </c>
      <c r="AT10" s="1">
        <v>46107.316874999997</v>
      </c>
      <c r="AU10">
        <v>25</v>
      </c>
      <c r="AV10">
        <v>153</v>
      </c>
      <c r="AY10">
        <v>479074</v>
      </c>
      <c r="AZ10">
        <v>471344</v>
      </c>
      <c r="BA10">
        <v>2410</v>
      </c>
      <c r="BB10">
        <v>2986</v>
      </c>
      <c r="BC10">
        <v>2885</v>
      </c>
      <c r="BD10">
        <v>0</v>
      </c>
      <c r="BF10">
        <v>2885</v>
      </c>
      <c r="BG10" s="1">
        <v>46107.317245370374</v>
      </c>
      <c r="BH10" s="1">
        <v>46107.324733796297</v>
      </c>
      <c r="BI10" s="1">
        <v>46107.329826388886</v>
      </c>
      <c r="BJ10" s="1">
        <v>46107.407824074071</v>
      </c>
      <c r="BK10">
        <v>1.1000000000000001</v>
      </c>
      <c r="BM10">
        <v>4116</v>
      </c>
      <c r="BQ10">
        <v>107</v>
      </c>
      <c r="BR10" t="s">
        <v>805</v>
      </c>
      <c r="BT10" s="1">
        <v>46107.328206018516</v>
      </c>
      <c r="BU10" s="1">
        <v>46107.367789351854</v>
      </c>
      <c r="BV10" t="b">
        <v>0</v>
      </c>
      <c r="BX10">
        <v>6</v>
      </c>
      <c r="BY10" t="b">
        <v>0</v>
      </c>
      <c r="CD10">
        <v>1</v>
      </c>
      <c r="CF10" s="1">
        <v>46107.222731481481</v>
      </c>
      <c r="CG10" t="b">
        <v>0</v>
      </c>
      <c r="CH10" t="b">
        <v>0</v>
      </c>
      <c r="CI10" t="b">
        <v>0</v>
      </c>
      <c r="CJ10" t="b">
        <v>0</v>
      </c>
      <c r="CK10" t="b">
        <v>0</v>
      </c>
      <c r="CL10" t="b">
        <v>0</v>
      </c>
      <c r="CM10" t="b">
        <v>0</v>
      </c>
      <c r="CN10" t="b">
        <v>0</v>
      </c>
      <c r="CP10">
        <v>6</v>
      </c>
      <c r="CR10">
        <v>2</v>
      </c>
      <c r="CS10">
        <v>2814</v>
      </c>
      <c r="CT10">
        <v>2831</v>
      </c>
      <c r="CU10">
        <v>2832</v>
      </c>
      <c r="CZ10">
        <v>5.92</v>
      </c>
      <c r="DA10">
        <v>5.85</v>
      </c>
      <c r="DB10">
        <v>7.94</v>
      </c>
      <c r="DC10">
        <v>7.34</v>
      </c>
      <c r="DH10">
        <v>4443</v>
      </c>
      <c r="DI10">
        <v>4461</v>
      </c>
      <c r="DJ10">
        <v>418</v>
      </c>
      <c r="DK10">
        <v>415</v>
      </c>
      <c r="DP10">
        <v>4444</v>
      </c>
      <c r="DQ10">
        <v>4457</v>
      </c>
      <c r="DR10">
        <v>417</v>
      </c>
      <c r="DS10">
        <v>417</v>
      </c>
      <c r="DX10">
        <v>4456</v>
      </c>
      <c r="DY10">
        <v>4443</v>
      </c>
      <c r="DZ10">
        <v>416</v>
      </c>
      <c r="EA10">
        <v>414</v>
      </c>
      <c r="EB10" s="1">
        <v>46107.367754629631</v>
      </c>
      <c r="ED10">
        <v>30</v>
      </c>
      <c r="EG10" s="1">
        <v>46107.407824074071</v>
      </c>
      <c r="EJ10" s="1">
        <v>46107.420104166667</v>
      </c>
      <c r="EQ10">
        <v>8.98</v>
      </c>
      <c r="ER10">
        <v>4</v>
      </c>
      <c r="ES10">
        <v>2986</v>
      </c>
      <c r="ET10">
        <v>0</v>
      </c>
      <c r="EU10">
        <v>0</v>
      </c>
      <c r="EV10">
        <v>2916</v>
      </c>
      <c r="EW10">
        <v>0</v>
      </c>
      <c r="EX10">
        <v>0</v>
      </c>
      <c r="EY10">
        <v>2930</v>
      </c>
      <c r="EZ10">
        <v>0</v>
      </c>
      <c r="FA10">
        <v>0</v>
      </c>
      <c r="FB10">
        <v>2899</v>
      </c>
      <c r="FC10">
        <v>7.9</v>
      </c>
      <c r="FG10" t="b">
        <v>1</v>
      </c>
      <c r="FI10" t="s">
        <v>571</v>
      </c>
      <c r="FJ10" t="s">
        <v>806</v>
      </c>
      <c r="FK10">
        <v>114</v>
      </c>
      <c r="FL10" s="1">
        <v>46107.41988425926</v>
      </c>
      <c r="FM10">
        <v>132</v>
      </c>
      <c r="FN10" t="s">
        <v>609</v>
      </c>
      <c r="FO10" t="s">
        <v>609</v>
      </c>
      <c r="FP10">
        <v>132</v>
      </c>
      <c r="FQ10" t="s">
        <v>609</v>
      </c>
      <c r="FR10" t="s">
        <v>609</v>
      </c>
      <c r="FS10" t="s">
        <v>610</v>
      </c>
      <c r="FT10" t="s">
        <v>580</v>
      </c>
      <c r="FV10" t="s">
        <v>573</v>
      </c>
      <c r="FW10" t="b">
        <v>0</v>
      </c>
      <c r="GA10" t="s">
        <v>807</v>
      </c>
      <c r="GB10">
        <v>18478</v>
      </c>
      <c r="GC10" s="1">
        <v>46107.328206018516</v>
      </c>
      <c r="GD10" t="s">
        <v>590</v>
      </c>
      <c r="GE10" t="s">
        <v>591</v>
      </c>
      <c r="GF10">
        <v>154</v>
      </c>
      <c r="GG10">
        <v>167</v>
      </c>
      <c r="GH10">
        <v>113</v>
      </c>
      <c r="GI10" t="s">
        <v>574</v>
      </c>
      <c r="GJ10">
        <v>247.96</v>
      </c>
      <c r="GL10">
        <v>48</v>
      </c>
      <c r="GN10" t="s">
        <v>640</v>
      </c>
      <c r="GP10">
        <v>48</v>
      </c>
      <c r="GR10" t="s">
        <v>640</v>
      </c>
      <c r="GT10">
        <v>1946</v>
      </c>
      <c r="GV10">
        <v>10.6</v>
      </c>
      <c r="GX10">
        <v>10.3</v>
      </c>
      <c r="HD10">
        <v>74.75</v>
      </c>
      <c r="HF10">
        <v>75</v>
      </c>
      <c r="HI10" s="2">
        <v>46107</v>
      </c>
      <c r="HJ10" t="s">
        <v>583</v>
      </c>
      <c r="HK10" t="s">
        <v>537</v>
      </c>
      <c r="HM10">
        <v>1</v>
      </c>
      <c r="HN10">
        <v>1</v>
      </c>
      <c r="HV10">
        <v>1</v>
      </c>
      <c r="HW10" t="b">
        <v>0</v>
      </c>
      <c r="IB10">
        <v>2885</v>
      </c>
      <c r="IJ10">
        <v>2770</v>
      </c>
      <c r="IK10">
        <v>44</v>
      </c>
      <c r="IL10">
        <v>61</v>
      </c>
      <c r="IM10">
        <v>62</v>
      </c>
      <c r="IO10" t="s">
        <v>601</v>
      </c>
      <c r="IP10" t="s">
        <v>601</v>
      </c>
      <c r="IQ10" t="s">
        <v>584</v>
      </c>
      <c r="IR10">
        <v>6</v>
      </c>
      <c r="IT10" t="s">
        <v>641</v>
      </c>
      <c r="IU10" s="1">
        <v>46107.355902777781</v>
      </c>
      <c r="IV10">
        <v>28447</v>
      </c>
      <c r="IW10">
        <v>28447</v>
      </c>
      <c r="IX10">
        <v>28453</v>
      </c>
      <c r="IY10">
        <v>255.410798</v>
      </c>
      <c r="IZ10">
        <v>2.8991009999999999</v>
      </c>
      <c r="JA10">
        <v>1.1000000000000001</v>
      </c>
      <c r="JB10">
        <v>0</v>
      </c>
      <c r="JC10">
        <v>1.2915490000000001</v>
      </c>
      <c r="JD10">
        <v>259.601448</v>
      </c>
      <c r="JE10">
        <v>260.70144800000003</v>
      </c>
      <c r="JF10">
        <v>97.970600000000005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74.8</v>
      </c>
      <c r="JM10">
        <v>9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8</v>
      </c>
      <c r="JU10">
        <v>30</v>
      </c>
      <c r="JV10">
        <v>0</v>
      </c>
      <c r="JW10">
        <v>510821.59620000003</v>
      </c>
      <c r="JX10">
        <v>2643</v>
      </c>
      <c r="JY10">
        <v>75.2</v>
      </c>
      <c r="JZ10">
        <v>9.0625</v>
      </c>
      <c r="KA10">
        <v>30</v>
      </c>
      <c r="KB10">
        <v>255.410798</v>
      </c>
      <c r="KC10">
        <v>1.2915490000000001</v>
      </c>
      <c r="KD10">
        <v>2.8991009999999999</v>
      </c>
      <c r="KE10">
        <v>5798.2020000000002</v>
      </c>
      <c r="KF10">
        <v>0</v>
      </c>
      <c r="KG10">
        <v>1.1000000000000001</v>
      </c>
      <c r="KH10">
        <v>0</v>
      </c>
      <c r="KI10">
        <v>0</v>
      </c>
      <c r="KJ10" t="s">
        <v>609</v>
      </c>
      <c r="KK10">
        <v>0.28360000000000002</v>
      </c>
      <c r="KL10">
        <v>28447</v>
      </c>
      <c r="KM10">
        <v>58260</v>
      </c>
      <c r="KN10">
        <v>39200</v>
      </c>
      <c r="KO10">
        <v>86400</v>
      </c>
      <c r="KP10">
        <v>362940</v>
      </c>
      <c r="KX10">
        <v>-8720</v>
      </c>
      <c r="LD10">
        <v>53260</v>
      </c>
      <c r="LV10">
        <v>11040</v>
      </c>
      <c r="MD10">
        <v>58900</v>
      </c>
      <c r="MQ10">
        <v>46191</v>
      </c>
      <c r="MR10">
        <v>145173</v>
      </c>
      <c r="MS10">
        <v>252554</v>
      </c>
      <c r="NG10">
        <v>52790</v>
      </c>
      <c r="NP10">
        <v>32994</v>
      </c>
      <c r="NY10">
        <v>65988</v>
      </c>
      <c r="OG10">
        <v>52790</v>
      </c>
      <c r="OT10">
        <v>3995</v>
      </c>
      <c r="PA10">
        <v>573</v>
      </c>
      <c r="PB10">
        <v>4006</v>
      </c>
      <c r="PC10">
        <v>464571</v>
      </c>
      <c r="PD10">
        <v>51183</v>
      </c>
      <c r="PE10">
        <v>12304</v>
      </c>
      <c r="PG10">
        <v>1</v>
      </c>
      <c r="PJ10">
        <v>23367</v>
      </c>
      <c r="PM10">
        <v>16530</v>
      </c>
      <c r="PR10">
        <v>100</v>
      </c>
      <c r="PV10">
        <v>3910</v>
      </c>
      <c r="PW10">
        <v>4981</v>
      </c>
      <c r="PX10">
        <v>806</v>
      </c>
      <c r="PY10">
        <v>1590</v>
      </c>
      <c r="QD10">
        <v>300</v>
      </c>
      <c r="QE10">
        <v>949</v>
      </c>
      <c r="QI10">
        <v>200</v>
      </c>
      <c r="QK10">
        <v>8</v>
      </c>
      <c r="QM10">
        <v>6</v>
      </c>
      <c r="QS10">
        <v>747</v>
      </c>
      <c r="SE10" s="1">
        <v>46086.322222222225</v>
      </c>
      <c r="SF10">
        <v>28447</v>
      </c>
      <c r="SG10">
        <v>407894</v>
      </c>
      <c r="SH10">
        <v>20</v>
      </c>
      <c r="SI10" t="s">
        <v>567</v>
      </c>
      <c r="SJ10">
        <v>50</v>
      </c>
      <c r="SK10" s="1">
        <v>46107.364120370374</v>
      </c>
      <c r="SZ10">
        <v>8.8999999999999996E-2</v>
      </c>
      <c r="TA10">
        <v>0.90800000000000003</v>
      </c>
      <c r="TB10">
        <v>1.17E-2</v>
      </c>
      <c r="TC10">
        <v>1.5E-3</v>
      </c>
      <c r="TD10">
        <v>0.189</v>
      </c>
      <c r="TE10">
        <v>0.13800000000000001</v>
      </c>
      <c r="TF10">
        <v>6.7000000000000004E-2</v>
      </c>
      <c r="TG10">
        <v>0.104</v>
      </c>
      <c r="TH10">
        <v>0.04</v>
      </c>
      <c r="TI10">
        <v>3.5999999999999997E-2</v>
      </c>
      <c r="TJ10">
        <v>6.0000000000000001E-3</v>
      </c>
      <c r="TK10">
        <v>4.9041100000000002</v>
      </c>
      <c r="TL10">
        <v>8.0000000000000002E-3</v>
      </c>
      <c r="TM10">
        <v>2.3E-3</v>
      </c>
      <c r="TN10">
        <v>2.3E-3</v>
      </c>
      <c r="TO10">
        <v>2.3999999999999998E-3</v>
      </c>
      <c r="TQ10">
        <v>7.3000000000000001E-3</v>
      </c>
      <c r="TR10" t="s">
        <v>570</v>
      </c>
      <c r="TS10">
        <v>3.32E-2</v>
      </c>
      <c r="TU10">
        <v>0.15570000000000001</v>
      </c>
      <c r="TV10">
        <v>4.8999999999999998E-3</v>
      </c>
      <c r="UD10">
        <v>0.28000000000000003</v>
      </c>
      <c r="UE10">
        <v>0.3105</v>
      </c>
      <c r="UF10">
        <v>0.33</v>
      </c>
      <c r="UH10">
        <v>2.5999999999999998E-4</v>
      </c>
      <c r="UJ10">
        <v>0.36</v>
      </c>
      <c r="UK10">
        <v>0.19</v>
      </c>
      <c r="UL10">
        <v>0.31</v>
      </c>
      <c r="UM10">
        <v>1.2699999999999999E-2</v>
      </c>
      <c r="UN10">
        <v>0.34899999999999998</v>
      </c>
      <c r="UO10">
        <v>3.8054999999999999</v>
      </c>
      <c r="UP10">
        <v>1.33</v>
      </c>
      <c r="UQ10">
        <v>0.75</v>
      </c>
      <c r="UR10" s="1">
        <v>46086.322222222225</v>
      </c>
    </row>
    <row r="11" spans="1:564" x14ac:dyDescent="0.35">
      <c r="A11">
        <v>28448</v>
      </c>
      <c r="B11">
        <v>18479</v>
      </c>
      <c r="C11">
        <v>850</v>
      </c>
      <c r="D11">
        <v>26130</v>
      </c>
      <c r="G11" t="s">
        <v>608</v>
      </c>
      <c r="H11">
        <v>500000</v>
      </c>
      <c r="L11" t="s">
        <v>586</v>
      </c>
      <c r="M11">
        <v>74.8</v>
      </c>
      <c r="N11">
        <v>330</v>
      </c>
      <c r="O11" t="s">
        <v>596</v>
      </c>
      <c r="P11">
        <v>2</v>
      </c>
      <c r="S11" s="1">
        <v>46107.196875000001</v>
      </c>
      <c r="U11">
        <v>62</v>
      </c>
      <c r="W11">
        <v>10</v>
      </c>
      <c r="X11">
        <v>495910</v>
      </c>
      <c r="Y11" s="1">
        <v>46107.247094907405</v>
      </c>
      <c r="AB11">
        <v>81823</v>
      </c>
      <c r="AC11">
        <v>263</v>
      </c>
      <c r="AD11">
        <v>1071</v>
      </c>
      <c r="AE11">
        <v>205560</v>
      </c>
      <c r="AF11">
        <v>0.05</v>
      </c>
      <c r="AG11">
        <v>796</v>
      </c>
      <c r="AH11">
        <v>2971</v>
      </c>
      <c r="AI11">
        <v>0.04</v>
      </c>
      <c r="AJ11">
        <v>996</v>
      </c>
      <c r="AK11">
        <v>3039</v>
      </c>
      <c r="AL11">
        <v>1</v>
      </c>
      <c r="AM11" t="s">
        <v>621</v>
      </c>
      <c r="AO11" s="1">
        <v>46107.325092592589</v>
      </c>
      <c r="AP11">
        <v>1</v>
      </c>
      <c r="AS11" s="1">
        <v>46107.270891203705</v>
      </c>
      <c r="AT11" s="1">
        <v>46107.356932870367</v>
      </c>
      <c r="AU11">
        <v>16</v>
      </c>
      <c r="AV11">
        <v>53</v>
      </c>
      <c r="AY11">
        <v>469260</v>
      </c>
      <c r="AZ11">
        <v>466569</v>
      </c>
      <c r="BA11">
        <v>198300</v>
      </c>
      <c r="BB11">
        <v>2971</v>
      </c>
      <c r="BC11">
        <v>2860</v>
      </c>
      <c r="BD11">
        <v>0</v>
      </c>
      <c r="BF11" t="s">
        <v>696</v>
      </c>
      <c r="BG11" s="1">
        <v>46107.357222222221</v>
      </c>
      <c r="BH11" s="1">
        <v>46107.366400462961</v>
      </c>
      <c r="BI11" s="1">
        <v>46107.407835648148</v>
      </c>
      <c r="BJ11" s="1">
        <v>46107.443715277775</v>
      </c>
      <c r="BK11">
        <v>1.1000000000000001</v>
      </c>
      <c r="BM11">
        <v>4116</v>
      </c>
      <c r="BT11" s="1">
        <v>46107.36917824074</v>
      </c>
      <c r="BU11" s="1">
        <v>46107.412233796298</v>
      </c>
      <c r="BV11" t="b">
        <v>0</v>
      </c>
      <c r="BX11">
        <v>6</v>
      </c>
      <c r="BY11" t="b">
        <v>0</v>
      </c>
      <c r="CD11">
        <v>1</v>
      </c>
      <c r="CF11" s="1">
        <v>46107.222650462965</v>
      </c>
      <c r="CG11" t="b">
        <v>0</v>
      </c>
      <c r="CH11" t="b">
        <v>0</v>
      </c>
      <c r="CI11" t="b">
        <v>0</v>
      </c>
      <c r="CJ11" t="b">
        <v>0</v>
      </c>
      <c r="CK11" t="b">
        <v>0</v>
      </c>
      <c r="CL11" t="b">
        <v>0</v>
      </c>
      <c r="CM11" t="b">
        <v>0</v>
      </c>
      <c r="CN11" t="b">
        <v>0</v>
      </c>
      <c r="CP11">
        <v>6</v>
      </c>
      <c r="CR11">
        <v>2</v>
      </c>
      <c r="CS11">
        <v>2829</v>
      </c>
      <c r="CT11">
        <v>2822</v>
      </c>
      <c r="CU11">
        <v>2819</v>
      </c>
      <c r="CZ11">
        <v>6.14</v>
      </c>
      <c r="DA11">
        <v>6.15</v>
      </c>
      <c r="DB11">
        <v>8.7799999999999994</v>
      </c>
      <c r="DC11">
        <v>7.66</v>
      </c>
      <c r="DH11">
        <v>4456</v>
      </c>
      <c r="DI11">
        <v>4448</v>
      </c>
      <c r="DJ11">
        <v>416</v>
      </c>
      <c r="DK11">
        <v>417</v>
      </c>
      <c r="DP11">
        <v>4439</v>
      </c>
      <c r="DQ11">
        <v>4443</v>
      </c>
      <c r="DR11">
        <v>419</v>
      </c>
      <c r="DS11">
        <v>416</v>
      </c>
      <c r="DX11">
        <v>4449</v>
      </c>
      <c r="DY11">
        <v>4451</v>
      </c>
      <c r="DZ11">
        <v>416</v>
      </c>
      <c r="EA11">
        <v>416</v>
      </c>
      <c r="EB11" s="1">
        <v>46107.412592592591</v>
      </c>
      <c r="EG11" s="1">
        <v>46107.443715277775</v>
      </c>
      <c r="EJ11" s="1">
        <v>46107.44740740741</v>
      </c>
      <c r="EQ11">
        <v>0</v>
      </c>
      <c r="ER11">
        <v>0</v>
      </c>
      <c r="ES11">
        <v>2971</v>
      </c>
      <c r="ET11">
        <v>0</v>
      </c>
      <c r="EU11">
        <v>0</v>
      </c>
      <c r="EV11">
        <v>2946</v>
      </c>
      <c r="EW11">
        <v>0</v>
      </c>
      <c r="EX11">
        <v>0</v>
      </c>
      <c r="EY11">
        <v>2885</v>
      </c>
      <c r="EZ11">
        <v>11.33</v>
      </c>
      <c r="FA11">
        <v>3</v>
      </c>
      <c r="FB11">
        <v>2869</v>
      </c>
      <c r="FC11">
        <v>6.6</v>
      </c>
      <c r="FJ11" t="s">
        <v>697</v>
      </c>
      <c r="FK11">
        <v>114</v>
      </c>
      <c r="FL11" s="1">
        <v>46107.447152777779</v>
      </c>
      <c r="FM11">
        <v>132</v>
      </c>
      <c r="FN11" t="s">
        <v>609</v>
      </c>
      <c r="FO11" t="s">
        <v>609</v>
      </c>
      <c r="FP11">
        <v>132</v>
      </c>
      <c r="FQ11" t="s">
        <v>609</v>
      </c>
      <c r="FR11" t="s">
        <v>609</v>
      </c>
      <c r="FS11" t="s">
        <v>610</v>
      </c>
      <c r="FT11" t="s">
        <v>582</v>
      </c>
      <c r="FV11" t="s">
        <v>573</v>
      </c>
      <c r="FW11" t="b">
        <v>0</v>
      </c>
      <c r="GA11" t="s">
        <v>698</v>
      </c>
      <c r="GB11">
        <v>18479</v>
      </c>
      <c r="GC11" s="1">
        <v>46107.36917824074</v>
      </c>
      <c r="GD11" t="s">
        <v>590</v>
      </c>
      <c r="GE11" t="s">
        <v>591</v>
      </c>
      <c r="GF11">
        <v>72</v>
      </c>
      <c r="GG11">
        <v>123</v>
      </c>
      <c r="GH11">
        <v>51</v>
      </c>
      <c r="GI11" t="s">
        <v>574</v>
      </c>
      <c r="GJ11">
        <v>247.96</v>
      </c>
      <c r="GL11">
        <v>48</v>
      </c>
      <c r="GN11" t="s">
        <v>640</v>
      </c>
      <c r="GP11">
        <v>48</v>
      </c>
      <c r="GR11" t="s">
        <v>640</v>
      </c>
      <c r="HI11" s="2">
        <v>46107</v>
      </c>
      <c r="HJ11" t="s">
        <v>583</v>
      </c>
      <c r="HK11" t="s">
        <v>537</v>
      </c>
      <c r="HM11">
        <v>2</v>
      </c>
      <c r="HN11">
        <v>1</v>
      </c>
      <c r="HV11">
        <v>1</v>
      </c>
      <c r="HW11" t="b">
        <v>0</v>
      </c>
      <c r="IB11">
        <v>2860</v>
      </c>
      <c r="IJ11">
        <v>2770</v>
      </c>
      <c r="IK11">
        <v>59</v>
      </c>
      <c r="IL11">
        <v>52</v>
      </c>
      <c r="IM11">
        <v>49</v>
      </c>
      <c r="IO11" t="s">
        <v>601</v>
      </c>
      <c r="IP11" t="s">
        <v>601</v>
      </c>
      <c r="IQ11" t="s">
        <v>584</v>
      </c>
      <c r="IR11">
        <v>10</v>
      </c>
      <c r="IT11" t="s">
        <v>641</v>
      </c>
      <c r="IV11">
        <v>28448</v>
      </c>
      <c r="IW11">
        <v>28447</v>
      </c>
      <c r="IX11">
        <v>28453</v>
      </c>
      <c r="IY11">
        <v>223.23077699999999</v>
      </c>
      <c r="IZ11">
        <v>0</v>
      </c>
      <c r="JA11">
        <v>1.1000000000000001</v>
      </c>
      <c r="JB11">
        <v>0</v>
      </c>
      <c r="JC11">
        <v>1.116153</v>
      </c>
      <c r="JD11">
        <v>224.34692999999999</v>
      </c>
      <c r="JE11">
        <v>225.44693000000001</v>
      </c>
      <c r="JF11">
        <v>99.016900000000007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74.8</v>
      </c>
      <c r="JM11">
        <v>9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7</v>
      </c>
      <c r="JU11">
        <v>0</v>
      </c>
      <c r="JV11">
        <v>0</v>
      </c>
      <c r="JW11">
        <v>446461.554</v>
      </c>
      <c r="JX11">
        <v>2310</v>
      </c>
      <c r="JY11">
        <v>75.2</v>
      </c>
      <c r="JZ11">
        <v>9.0625</v>
      </c>
      <c r="KA11">
        <v>0</v>
      </c>
      <c r="KB11">
        <v>223.23077699999999</v>
      </c>
      <c r="KC11">
        <v>1.116153</v>
      </c>
      <c r="KD11">
        <v>0</v>
      </c>
      <c r="KE11">
        <v>0</v>
      </c>
      <c r="KF11">
        <v>0</v>
      </c>
      <c r="KG11">
        <v>1.1000000000000001</v>
      </c>
      <c r="KH11">
        <v>0</v>
      </c>
      <c r="KI11">
        <v>0</v>
      </c>
      <c r="KJ11" t="s">
        <v>609</v>
      </c>
      <c r="KK11">
        <v>0.28360000000000002</v>
      </c>
      <c r="KL11">
        <v>28448</v>
      </c>
      <c r="KN11">
        <v>41160</v>
      </c>
      <c r="KO11">
        <v>121540</v>
      </c>
      <c r="KP11">
        <v>219000</v>
      </c>
      <c r="KX11">
        <v>25200</v>
      </c>
      <c r="LD11">
        <v>45200</v>
      </c>
      <c r="LL11">
        <v>2000</v>
      </c>
      <c r="LV11">
        <v>56680</v>
      </c>
      <c r="MD11">
        <v>46820</v>
      </c>
      <c r="MQ11">
        <v>38586</v>
      </c>
      <c r="MR11">
        <v>121272</v>
      </c>
      <c r="MS11">
        <v>184163</v>
      </c>
      <c r="NG11">
        <v>44099</v>
      </c>
      <c r="NP11">
        <v>27561</v>
      </c>
      <c r="NY11">
        <v>55123</v>
      </c>
      <c r="OG11">
        <v>44099</v>
      </c>
      <c r="OT11">
        <v>3917</v>
      </c>
      <c r="PA11">
        <v>572</v>
      </c>
      <c r="PB11">
        <v>4053</v>
      </c>
      <c r="PC11">
        <v>378708</v>
      </c>
      <c r="PD11">
        <v>36857</v>
      </c>
      <c r="PE11">
        <v>8852</v>
      </c>
      <c r="PG11">
        <v>2</v>
      </c>
      <c r="PJ11">
        <v>15801</v>
      </c>
      <c r="PM11">
        <v>15580</v>
      </c>
      <c r="PR11">
        <v>100</v>
      </c>
      <c r="PV11">
        <v>1015</v>
      </c>
      <c r="PW11">
        <v>744</v>
      </c>
      <c r="PX11">
        <v>306</v>
      </c>
      <c r="PY11">
        <v>1391</v>
      </c>
      <c r="QE11">
        <v>949</v>
      </c>
      <c r="QI11">
        <v>150</v>
      </c>
      <c r="QK11">
        <v>5</v>
      </c>
      <c r="QM11">
        <v>7</v>
      </c>
      <c r="QS11">
        <v>400</v>
      </c>
      <c r="QW11">
        <v>120</v>
      </c>
      <c r="QY11">
        <v>65</v>
      </c>
      <c r="SE11" s="1">
        <v>46086.322222222225</v>
      </c>
      <c r="SF11">
        <v>28448</v>
      </c>
      <c r="SG11">
        <v>407907</v>
      </c>
      <c r="SH11">
        <v>20</v>
      </c>
      <c r="SI11" t="s">
        <v>567</v>
      </c>
      <c r="SJ11">
        <v>50</v>
      </c>
      <c r="SK11" s="1">
        <v>46107.39466435185</v>
      </c>
      <c r="SZ11">
        <v>8.8999999999999996E-2</v>
      </c>
      <c r="TA11">
        <v>0.86499999999999999</v>
      </c>
      <c r="TB11">
        <v>9.5999999999999992E-3</v>
      </c>
      <c r="TC11">
        <v>1.9E-3</v>
      </c>
      <c r="TD11">
        <v>0.19700000000000001</v>
      </c>
      <c r="TE11">
        <v>0.15</v>
      </c>
      <c r="TF11">
        <v>5.5E-2</v>
      </c>
      <c r="TG11">
        <v>0.10299999999999999</v>
      </c>
      <c r="TH11">
        <v>4.2999999999999997E-2</v>
      </c>
      <c r="TI11">
        <v>3.5000000000000003E-2</v>
      </c>
      <c r="TJ11">
        <v>7.0000000000000001E-3</v>
      </c>
      <c r="TK11">
        <v>4.3703700000000003</v>
      </c>
      <c r="TL11">
        <v>7.0000000000000001E-3</v>
      </c>
      <c r="TM11">
        <v>2.3999999999999998E-3</v>
      </c>
      <c r="TN11">
        <v>2.0999999999999999E-3</v>
      </c>
      <c r="TO11">
        <v>2.8999999999999998E-3</v>
      </c>
      <c r="TQ11">
        <v>8.0999999999999996E-3</v>
      </c>
      <c r="TR11" t="s">
        <v>570</v>
      </c>
      <c r="TS11">
        <v>3.3599999999999998E-2</v>
      </c>
      <c r="TU11">
        <v>0.1547</v>
      </c>
      <c r="TV11">
        <v>5.1000000000000004E-3</v>
      </c>
      <c r="UD11">
        <v>0.27</v>
      </c>
      <c r="UE11">
        <v>0.30420000000000003</v>
      </c>
      <c r="UF11">
        <v>0.36</v>
      </c>
      <c r="UH11">
        <v>2.9E-4</v>
      </c>
      <c r="UJ11">
        <v>0.36249999999999999</v>
      </c>
      <c r="UK11">
        <v>0.2</v>
      </c>
      <c r="UL11">
        <v>0.31</v>
      </c>
      <c r="UM11">
        <v>1.23E-2</v>
      </c>
      <c r="UN11">
        <v>0.35099999999999998</v>
      </c>
      <c r="UO11">
        <v>3.9537</v>
      </c>
      <c r="UP11">
        <v>1.46</v>
      </c>
      <c r="UQ11">
        <v>0.69</v>
      </c>
      <c r="UR11" s="1">
        <v>46086.322222222225</v>
      </c>
    </row>
    <row r="12" spans="1:564" x14ac:dyDescent="0.35">
      <c r="A12">
        <v>28449</v>
      </c>
      <c r="B12">
        <v>18480</v>
      </c>
      <c r="C12">
        <v>850</v>
      </c>
      <c r="D12">
        <v>26130</v>
      </c>
      <c r="G12" t="s">
        <v>608</v>
      </c>
      <c r="H12">
        <v>500000</v>
      </c>
      <c r="L12" t="s">
        <v>586</v>
      </c>
      <c r="M12">
        <v>74.8</v>
      </c>
      <c r="N12">
        <v>330</v>
      </c>
      <c r="O12" t="s">
        <v>596</v>
      </c>
      <c r="P12">
        <v>2</v>
      </c>
      <c r="S12" s="1">
        <v>46107.247094907405</v>
      </c>
      <c r="U12">
        <v>66</v>
      </c>
      <c r="W12">
        <v>11</v>
      </c>
      <c r="X12">
        <v>495910</v>
      </c>
      <c r="Y12" s="1">
        <v>46107.301157407404</v>
      </c>
      <c r="AB12">
        <v>83996</v>
      </c>
      <c r="AC12">
        <v>264</v>
      </c>
      <c r="AD12">
        <v>1072</v>
      </c>
      <c r="AE12">
        <v>202161</v>
      </c>
      <c r="AF12">
        <v>0.04</v>
      </c>
      <c r="AG12">
        <v>850</v>
      </c>
      <c r="AH12">
        <v>3005</v>
      </c>
      <c r="AI12">
        <v>0.04</v>
      </c>
      <c r="AJ12">
        <v>910</v>
      </c>
      <c r="AK12">
        <v>3016</v>
      </c>
      <c r="AL12">
        <v>2</v>
      </c>
      <c r="AM12" t="s">
        <v>604</v>
      </c>
      <c r="AO12" s="1">
        <v>46107.311192129629</v>
      </c>
      <c r="AP12">
        <v>2</v>
      </c>
      <c r="AS12" s="1">
        <v>46107.309803240743</v>
      </c>
      <c r="AT12" s="1">
        <v>46107.400104166663</v>
      </c>
      <c r="AU12">
        <v>24</v>
      </c>
      <c r="AV12">
        <v>116</v>
      </c>
      <c r="AY12">
        <v>484727</v>
      </c>
      <c r="AZ12">
        <v>479566</v>
      </c>
      <c r="BA12">
        <v>2320</v>
      </c>
      <c r="BB12">
        <v>2915</v>
      </c>
      <c r="BC12">
        <v>2865</v>
      </c>
      <c r="BD12">
        <v>0</v>
      </c>
      <c r="BG12" s="1">
        <v>46107.400601851848</v>
      </c>
      <c r="BH12" s="1">
        <v>46107.407777777778</v>
      </c>
      <c r="BI12" s="1">
        <v>46107.443738425929</v>
      </c>
      <c r="BJ12" s="1">
        <v>46107.491157407407</v>
      </c>
      <c r="BK12">
        <v>1.1000000000000001</v>
      </c>
      <c r="BM12">
        <v>4116</v>
      </c>
      <c r="BT12" s="1">
        <v>46107.41333333333</v>
      </c>
      <c r="BU12" s="1">
        <v>46107.458472222221</v>
      </c>
      <c r="BV12" t="b">
        <v>0</v>
      </c>
      <c r="BX12">
        <v>6</v>
      </c>
      <c r="BY12" t="b">
        <v>0</v>
      </c>
      <c r="CD12">
        <v>1</v>
      </c>
      <c r="CF12" s="1">
        <v>46107.222650462965</v>
      </c>
      <c r="CG12" t="b">
        <v>0</v>
      </c>
      <c r="CH12" t="b">
        <v>0</v>
      </c>
      <c r="CI12" t="b">
        <v>0</v>
      </c>
      <c r="CJ12" t="b">
        <v>0</v>
      </c>
      <c r="CK12" t="b">
        <v>0</v>
      </c>
      <c r="CL12" t="b">
        <v>0</v>
      </c>
      <c r="CM12" t="b">
        <v>0</v>
      </c>
      <c r="CN12" t="b">
        <v>0</v>
      </c>
      <c r="CP12">
        <v>6</v>
      </c>
      <c r="CR12">
        <v>2</v>
      </c>
      <c r="CS12">
        <v>2818</v>
      </c>
      <c r="CT12">
        <v>2821</v>
      </c>
      <c r="CU12">
        <v>2815</v>
      </c>
      <c r="CZ12">
        <v>6.36</v>
      </c>
      <c r="DA12">
        <v>6.62</v>
      </c>
      <c r="DB12">
        <v>8.39</v>
      </c>
      <c r="DC12">
        <v>7.71</v>
      </c>
      <c r="DH12">
        <v>4463</v>
      </c>
      <c r="DI12">
        <v>4453</v>
      </c>
      <c r="DJ12">
        <v>414</v>
      </c>
      <c r="DK12">
        <v>416</v>
      </c>
      <c r="DP12">
        <v>4451</v>
      </c>
      <c r="DQ12">
        <v>4440</v>
      </c>
      <c r="DR12">
        <v>416</v>
      </c>
      <c r="DS12">
        <v>417</v>
      </c>
      <c r="DX12">
        <v>4429</v>
      </c>
      <c r="DY12">
        <v>4451</v>
      </c>
      <c r="DZ12">
        <v>416</v>
      </c>
      <c r="EA12">
        <v>416</v>
      </c>
      <c r="EB12" s="1">
        <v>46107.459166666667</v>
      </c>
      <c r="EG12" s="1">
        <v>46107.491157407407</v>
      </c>
      <c r="EJ12" s="1">
        <v>46107.506388888891</v>
      </c>
      <c r="EQ12">
        <v>0</v>
      </c>
      <c r="ER12">
        <v>0</v>
      </c>
      <c r="ES12">
        <v>2915</v>
      </c>
      <c r="ET12">
        <v>0</v>
      </c>
      <c r="EU12">
        <v>0</v>
      </c>
      <c r="EV12">
        <v>2878</v>
      </c>
      <c r="EW12">
        <v>0</v>
      </c>
      <c r="EX12">
        <v>0</v>
      </c>
      <c r="EY12">
        <v>2878</v>
      </c>
      <c r="EZ12">
        <v>0</v>
      </c>
      <c r="FA12">
        <v>0</v>
      </c>
      <c r="FB12">
        <v>2896</v>
      </c>
      <c r="FC12">
        <v>6.2</v>
      </c>
      <c r="FJ12" t="s">
        <v>699</v>
      </c>
      <c r="FK12">
        <v>114</v>
      </c>
      <c r="FL12" s="1">
        <v>46107.506157407406</v>
      </c>
      <c r="FM12">
        <v>132</v>
      </c>
      <c r="FN12" t="s">
        <v>609</v>
      </c>
      <c r="FO12" t="s">
        <v>609</v>
      </c>
      <c r="FP12">
        <v>132</v>
      </c>
      <c r="FQ12" t="s">
        <v>609</v>
      </c>
      <c r="FR12" t="s">
        <v>609</v>
      </c>
      <c r="FS12" t="s">
        <v>610</v>
      </c>
      <c r="FT12" t="s">
        <v>572</v>
      </c>
      <c r="FV12" t="s">
        <v>573</v>
      </c>
      <c r="FW12" t="b">
        <v>0</v>
      </c>
      <c r="GA12" t="s">
        <v>700</v>
      </c>
      <c r="GB12">
        <v>18480</v>
      </c>
      <c r="GC12" s="1">
        <v>46107.41333333333</v>
      </c>
      <c r="GD12" t="s">
        <v>590</v>
      </c>
      <c r="GE12" t="s">
        <v>591</v>
      </c>
      <c r="GF12">
        <v>78</v>
      </c>
      <c r="GG12">
        <v>130</v>
      </c>
      <c r="GH12">
        <v>69</v>
      </c>
      <c r="GI12" t="s">
        <v>565</v>
      </c>
      <c r="GJ12">
        <v>247.96</v>
      </c>
      <c r="GL12">
        <v>48</v>
      </c>
      <c r="GN12" t="s">
        <v>640</v>
      </c>
      <c r="GP12">
        <v>48</v>
      </c>
      <c r="GR12" t="s">
        <v>640</v>
      </c>
      <c r="HI12" s="2">
        <v>46107</v>
      </c>
      <c r="HJ12" t="s">
        <v>583</v>
      </c>
      <c r="HK12" t="s">
        <v>537</v>
      </c>
      <c r="HM12">
        <v>3</v>
      </c>
      <c r="HN12">
        <v>1</v>
      </c>
      <c r="HV12">
        <v>1</v>
      </c>
      <c r="HW12" t="b">
        <v>0</v>
      </c>
      <c r="IB12">
        <v>2860</v>
      </c>
      <c r="IJ12">
        <v>2770</v>
      </c>
      <c r="IK12">
        <v>48</v>
      </c>
      <c r="IL12">
        <v>51</v>
      </c>
      <c r="IM12">
        <v>45</v>
      </c>
      <c r="IO12" t="s">
        <v>601</v>
      </c>
      <c r="IP12" t="s">
        <v>601</v>
      </c>
      <c r="IQ12" t="s">
        <v>584</v>
      </c>
      <c r="IR12">
        <v>3</v>
      </c>
      <c r="IT12" t="s">
        <v>641</v>
      </c>
      <c r="IV12">
        <v>28449</v>
      </c>
      <c r="IW12">
        <v>28447</v>
      </c>
      <c r="IX12">
        <v>28453</v>
      </c>
      <c r="IY12">
        <v>255.12088800000001</v>
      </c>
      <c r="IZ12">
        <v>0</v>
      </c>
      <c r="JA12">
        <v>1.1000000000000001</v>
      </c>
      <c r="JB12">
        <v>0</v>
      </c>
      <c r="JC12">
        <v>1.275604</v>
      </c>
      <c r="JD12">
        <v>256.39649200000002</v>
      </c>
      <c r="JE12">
        <v>257.49649199999999</v>
      </c>
      <c r="JF12">
        <v>99.077399999999997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74.8</v>
      </c>
      <c r="JM12">
        <v>9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8</v>
      </c>
      <c r="JU12">
        <v>0</v>
      </c>
      <c r="JV12">
        <v>0</v>
      </c>
      <c r="JW12">
        <v>510241.77600000001</v>
      </c>
      <c r="JX12">
        <v>2640</v>
      </c>
      <c r="JY12">
        <v>75.2</v>
      </c>
      <c r="JZ12">
        <v>9.0625</v>
      </c>
      <c r="KA12">
        <v>0</v>
      </c>
      <c r="KB12">
        <v>255.12088800000001</v>
      </c>
      <c r="KC12">
        <v>1.275604</v>
      </c>
      <c r="KD12">
        <v>0</v>
      </c>
      <c r="KE12">
        <v>0</v>
      </c>
      <c r="KF12">
        <v>0</v>
      </c>
      <c r="KG12">
        <v>1.1000000000000001</v>
      </c>
      <c r="KH12">
        <v>0</v>
      </c>
      <c r="KI12">
        <v>0</v>
      </c>
      <c r="KJ12" t="s">
        <v>609</v>
      </c>
      <c r="KK12">
        <v>0.28360000000000002</v>
      </c>
      <c r="KL12">
        <v>28449</v>
      </c>
      <c r="KN12">
        <v>35460</v>
      </c>
      <c r="KO12">
        <v>119380</v>
      </c>
      <c r="KP12">
        <v>224280</v>
      </c>
      <c r="LD12">
        <v>45040</v>
      </c>
      <c r="LL12">
        <v>27480</v>
      </c>
      <c r="LV12">
        <v>54700</v>
      </c>
      <c r="MD12">
        <v>44720</v>
      </c>
      <c r="MQ12">
        <v>38586</v>
      </c>
      <c r="MR12">
        <v>121272</v>
      </c>
      <c r="MS12">
        <v>220164</v>
      </c>
      <c r="NG12">
        <v>44099</v>
      </c>
      <c r="NP12">
        <v>27561</v>
      </c>
      <c r="NY12">
        <v>55123</v>
      </c>
      <c r="OG12">
        <v>44099</v>
      </c>
      <c r="OT12">
        <v>4027</v>
      </c>
      <c r="PA12">
        <v>703</v>
      </c>
      <c r="PB12">
        <v>4022</v>
      </c>
      <c r="PC12">
        <v>379288</v>
      </c>
      <c r="PD12">
        <v>40304</v>
      </c>
      <c r="PE12">
        <v>8873</v>
      </c>
      <c r="PG12">
        <v>2</v>
      </c>
      <c r="PJ12">
        <v>17181</v>
      </c>
      <c r="PM12">
        <v>15574</v>
      </c>
      <c r="PR12">
        <v>100</v>
      </c>
      <c r="PV12">
        <v>2970</v>
      </c>
      <c r="PW12">
        <v>3013</v>
      </c>
      <c r="PX12">
        <v>694</v>
      </c>
      <c r="PY12">
        <v>1403</v>
      </c>
      <c r="QD12">
        <v>200</v>
      </c>
      <c r="QE12">
        <v>949</v>
      </c>
      <c r="QK12">
        <v>5</v>
      </c>
      <c r="QM12">
        <v>6</v>
      </c>
      <c r="QS12">
        <v>372</v>
      </c>
      <c r="QW12">
        <v>160</v>
      </c>
      <c r="QY12">
        <v>75</v>
      </c>
      <c r="SE12" s="1">
        <v>46086.322222222225</v>
      </c>
      <c r="SF12">
        <v>28449</v>
      </c>
      <c r="SG12">
        <v>407925</v>
      </c>
      <c r="SH12">
        <v>20</v>
      </c>
      <c r="SI12" t="s">
        <v>567</v>
      </c>
      <c r="SJ12">
        <v>50</v>
      </c>
      <c r="SK12" s="1">
        <v>46107.437291666669</v>
      </c>
      <c r="SZ12">
        <v>8.6999999999999994E-2</v>
      </c>
      <c r="TA12">
        <v>0.85299999999999998</v>
      </c>
      <c r="TB12">
        <v>8.8000000000000005E-3</v>
      </c>
      <c r="TC12">
        <v>1.1999999999999999E-3</v>
      </c>
      <c r="TD12">
        <v>0.182</v>
      </c>
      <c r="TE12">
        <v>0.14199999999999999</v>
      </c>
      <c r="TF12">
        <v>6.2E-2</v>
      </c>
      <c r="TG12">
        <v>0.10199999999999999</v>
      </c>
      <c r="TH12">
        <v>3.5999999999999997E-2</v>
      </c>
      <c r="TI12">
        <v>3.5999999999999997E-2</v>
      </c>
      <c r="TJ12">
        <v>7.0000000000000001E-3</v>
      </c>
      <c r="TK12">
        <v>4.2976200000000002</v>
      </c>
      <c r="TL12">
        <v>7.0000000000000001E-3</v>
      </c>
      <c r="TM12">
        <v>1.8E-3</v>
      </c>
      <c r="TN12">
        <v>1.9E-3</v>
      </c>
      <c r="TO12">
        <v>2.8E-3</v>
      </c>
      <c r="TQ12">
        <v>8.3999999999999995E-3</v>
      </c>
      <c r="TR12" t="s">
        <v>570</v>
      </c>
      <c r="TS12">
        <v>3.2199999999999999E-2</v>
      </c>
      <c r="TU12">
        <v>0.15040000000000001</v>
      </c>
      <c r="TV12">
        <v>5.0000000000000001E-3</v>
      </c>
      <c r="UD12">
        <v>0.27</v>
      </c>
      <c r="UE12">
        <v>0.29649999999999999</v>
      </c>
      <c r="UF12">
        <v>0.33</v>
      </c>
      <c r="UH12">
        <v>2.9999999999999997E-4</v>
      </c>
      <c r="UJ12">
        <v>0.35389999999999999</v>
      </c>
      <c r="UK12">
        <v>0.2</v>
      </c>
      <c r="UL12">
        <v>0.31</v>
      </c>
      <c r="UM12">
        <v>1.1599999999999999E-2</v>
      </c>
      <c r="UN12">
        <v>0.34200000000000003</v>
      </c>
      <c r="UO12">
        <v>3.7997999999999998</v>
      </c>
      <c r="UP12">
        <v>1.39</v>
      </c>
      <c r="UQ12">
        <v>0.72</v>
      </c>
      <c r="UR12" s="1">
        <v>46086.322222222225</v>
      </c>
    </row>
    <row r="13" spans="1:564" x14ac:dyDescent="0.35">
      <c r="A13">
        <v>28450</v>
      </c>
      <c r="B13">
        <v>18481</v>
      </c>
      <c r="C13">
        <v>850</v>
      </c>
      <c r="D13">
        <v>26130</v>
      </c>
      <c r="G13" t="s">
        <v>608</v>
      </c>
      <c r="H13">
        <v>500000</v>
      </c>
      <c r="L13" t="s">
        <v>586</v>
      </c>
      <c r="M13">
        <v>74.8</v>
      </c>
      <c r="N13">
        <v>330</v>
      </c>
      <c r="O13" t="s">
        <v>596</v>
      </c>
      <c r="P13">
        <v>1</v>
      </c>
      <c r="S13" s="1">
        <v>46107.301157407404</v>
      </c>
      <c r="U13">
        <v>72</v>
      </c>
      <c r="W13">
        <v>18</v>
      </c>
      <c r="X13">
        <v>495910</v>
      </c>
      <c r="Y13" s="1">
        <v>46107.364155092589</v>
      </c>
      <c r="AB13">
        <v>76176</v>
      </c>
      <c r="AC13">
        <v>265</v>
      </c>
      <c r="AD13">
        <v>1073</v>
      </c>
      <c r="AE13">
        <v>233360</v>
      </c>
      <c r="AF13">
        <v>0</v>
      </c>
      <c r="AG13">
        <v>0</v>
      </c>
      <c r="AH13">
        <v>3052</v>
      </c>
      <c r="AI13">
        <v>0.04</v>
      </c>
      <c r="AJ13">
        <v>838</v>
      </c>
      <c r="AK13">
        <v>3063</v>
      </c>
      <c r="AL13">
        <v>9</v>
      </c>
      <c r="AM13" t="s">
        <v>636</v>
      </c>
      <c r="AO13" s="1">
        <v>46107.367696759262</v>
      </c>
      <c r="AP13">
        <v>1</v>
      </c>
      <c r="AS13" s="1">
        <v>46107.369062500002</v>
      </c>
      <c r="AT13" s="1">
        <v>46107.447476851848</v>
      </c>
      <c r="AU13">
        <v>24</v>
      </c>
      <c r="AV13">
        <v>98</v>
      </c>
      <c r="AY13">
        <v>485029</v>
      </c>
      <c r="AZ13">
        <v>479995</v>
      </c>
      <c r="BA13">
        <v>2290</v>
      </c>
      <c r="BB13">
        <v>2912</v>
      </c>
      <c r="BC13">
        <v>2865</v>
      </c>
      <c r="BD13">
        <v>0</v>
      </c>
      <c r="BG13" s="1">
        <v>46107.448194444441</v>
      </c>
      <c r="BH13" s="1">
        <v>46107.457175925927</v>
      </c>
      <c r="BI13" s="1">
        <v>46107.49119212963</v>
      </c>
      <c r="BJ13" s="1">
        <v>46107.537430555552</v>
      </c>
      <c r="BK13">
        <v>1.1000000000000001</v>
      </c>
      <c r="BM13">
        <v>4116</v>
      </c>
      <c r="BT13" s="1">
        <v>46107.459953703707</v>
      </c>
      <c r="BU13" s="1">
        <v>46107.50439814815</v>
      </c>
      <c r="BV13" t="b">
        <v>0</v>
      </c>
      <c r="BX13">
        <v>6</v>
      </c>
      <c r="BY13" t="b">
        <v>0</v>
      </c>
      <c r="CD13">
        <v>1</v>
      </c>
      <c r="CF13" s="1">
        <v>46107.222361111111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  <c r="CL13" t="b">
        <v>0</v>
      </c>
      <c r="CM13" t="b">
        <v>0</v>
      </c>
      <c r="CN13" t="b">
        <v>0</v>
      </c>
      <c r="CP13">
        <v>6</v>
      </c>
      <c r="CR13">
        <v>2</v>
      </c>
      <c r="CS13">
        <v>2809</v>
      </c>
      <c r="CT13">
        <v>2809</v>
      </c>
      <c r="CU13">
        <v>2801</v>
      </c>
      <c r="CZ13">
        <v>6.38</v>
      </c>
      <c r="DA13">
        <v>6.61</v>
      </c>
      <c r="DB13">
        <v>8.4</v>
      </c>
      <c r="DC13">
        <v>7.56</v>
      </c>
      <c r="DH13">
        <v>4452</v>
      </c>
      <c r="DI13">
        <v>4440</v>
      </c>
      <c r="DJ13">
        <v>417</v>
      </c>
      <c r="DK13">
        <v>416</v>
      </c>
      <c r="DP13">
        <v>4451</v>
      </c>
      <c r="DQ13">
        <v>4456</v>
      </c>
      <c r="DR13">
        <v>415</v>
      </c>
      <c r="DS13">
        <v>416</v>
      </c>
      <c r="DX13">
        <v>4459</v>
      </c>
      <c r="DY13">
        <v>4435</v>
      </c>
      <c r="DZ13">
        <v>416</v>
      </c>
      <c r="EA13">
        <v>416</v>
      </c>
      <c r="EB13" s="1">
        <v>46107.504594907405</v>
      </c>
      <c r="EG13" s="1">
        <v>46107.537430555552</v>
      </c>
      <c r="EJ13" s="1">
        <v>46108.333807870367</v>
      </c>
      <c r="EK13">
        <v>0.05</v>
      </c>
      <c r="EL13">
        <v>757</v>
      </c>
      <c r="EM13">
        <v>2987</v>
      </c>
      <c r="EN13">
        <v>0.04</v>
      </c>
      <c r="EO13">
        <v>932</v>
      </c>
      <c r="EP13">
        <v>3005</v>
      </c>
      <c r="EQ13">
        <v>3.16</v>
      </c>
      <c r="ER13">
        <v>11</v>
      </c>
      <c r="ES13">
        <v>2912</v>
      </c>
      <c r="ET13">
        <v>0</v>
      </c>
      <c r="EU13">
        <v>0</v>
      </c>
      <c r="EV13">
        <v>2832</v>
      </c>
      <c r="EW13">
        <v>0</v>
      </c>
      <c r="EX13">
        <v>0</v>
      </c>
      <c r="EY13">
        <v>2869</v>
      </c>
      <c r="EZ13">
        <v>0</v>
      </c>
      <c r="FA13">
        <v>0</v>
      </c>
      <c r="FB13">
        <v>2865</v>
      </c>
      <c r="FC13">
        <v>6.2</v>
      </c>
      <c r="FJ13" t="s">
        <v>637</v>
      </c>
      <c r="FK13">
        <v>114</v>
      </c>
      <c r="FL13" s="1">
        <v>46107.552268518521</v>
      </c>
      <c r="FM13">
        <v>132</v>
      </c>
      <c r="FN13" t="s">
        <v>609</v>
      </c>
      <c r="FO13" t="s">
        <v>609</v>
      </c>
      <c r="FP13">
        <v>132</v>
      </c>
      <c r="FQ13" t="s">
        <v>609</v>
      </c>
      <c r="FR13" t="s">
        <v>609</v>
      </c>
      <c r="FS13" t="s">
        <v>610</v>
      </c>
      <c r="FT13" t="s">
        <v>638</v>
      </c>
      <c r="FV13" t="s">
        <v>573</v>
      </c>
      <c r="FW13" t="b">
        <v>0</v>
      </c>
      <c r="GA13" t="s">
        <v>639</v>
      </c>
      <c r="GB13">
        <v>18481</v>
      </c>
      <c r="GC13" s="1">
        <v>46107.459953703707</v>
      </c>
      <c r="GD13" t="s">
        <v>590</v>
      </c>
      <c r="GE13" t="s">
        <v>591</v>
      </c>
      <c r="GF13">
        <v>91</v>
      </c>
      <c r="GG13">
        <v>113</v>
      </c>
      <c r="GH13">
        <v>66</v>
      </c>
      <c r="GI13" t="s">
        <v>574</v>
      </c>
      <c r="GJ13">
        <v>247.96</v>
      </c>
      <c r="GL13">
        <v>48</v>
      </c>
      <c r="GN13" t="s">
        <v>640</v>
      </c>
      <c r="GP13">
        <v>48</v>
      </c>
      <c r="GR13" t="s">
        <v>640</v>
      </c>
      <c r="HI13" s="2">
        <v>46107</v>
      </c>
      <c r="HJ13" t="s">
        <v>583</v>
      </c>
      <c r="HK13" t="s">
        <v>537</v>
      </c>
      <c r="HM13">
        <v>4</v>
      </c>
      <c r="HN13">
        <v>1</v>
      </c>
      <c r="HV13">
        <v>1</v>
      </c>
      <c r="HW13" t="b">
        <v>0</v>
      </c>
      <c r="IB13">
        <v>2860</v>
      </c>
      <c r="IJ13">
        <v>2770</v>
      </c>
      <c r="IK13">
        <v>39</v>
      </c>
      <c r="IL13">
        <v>39</v>
      </c>
      <c r="IM13">
        <v>31</v>
      </c>
      <c r="IO13" t="s">
        <v>601</v>
      </c>
      <c r="IP13" t="s">
        <v>601</v>
      </c>
      <c r="IQ13" t="s">
        <v>584</v>
      </c>
      <c r="IR13">
        <v>8</v>
      </c>
      <c r="IT13" t="s">
        <v>641</v>
      </c>
      <c r="IV13">
        <v>28450</v>
      </c>
      <c r="IW13">
        <v>28447</v>
      </c>
      <c r="IX13">
        <v>28453</v>
      </c>
      <c r="IY13">
        <v>255.410798</v>
      </c>
      <c r="IZ13">
        <v>0</v>
      </c>
      <c r="JA13">
        <v>1.1000000000000001</v>
      </c>
      <c r="JB13">
        <v>0</v>
      </c>
      <c r="JC13">
        <v>1.277053</v>
      </c>
      <c r="JD13">
        <v>256.68785100000002</v>
      </c>
      <c r="JE13">
        <v>257.78785099999999</v>
      </c>
      <c r="JF13">
        <v>99.0779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74.8</v>
      </c>
      <c r="JM13">
        <v>9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8</v>
      </c>
      <c r="JU13">
        <v>0</v>
      </c>
      <c r="JV13">
        <v>0</v>
      </c>
      <c r="JW13">
        <v>510821.59620000003</v>
      </c>
      <c r="JX13">
        <v>2643</v>
      </c>
      <c r="JY13">
        <v>75.2</v>
      </c>
      <c r="JZ13">
        <v>9.0625</v>
      </c>
      <c r="KA13">
        <v>0</v>
      </c>
      <c r="KB13">
        <v>255.410798</v>
      </c>
      <c r="KC13">
        <v>1.277053</v>
      </c>
      <c r="KD13">
        <v>0</v>
      </c>
      <c r="KE13">
        <v>0</v>
      </c>
      <c r="KF13">
        <v>0</v>
      </c>
      <c r="KG13">
        <v>1.1000000000000001</v>
      </c>
      <c r="KH13">
        <v>0</v>
      </c>
      <c r="KI13">
        <v>0</v>
      </c>
      <c r="KJ13" t="s">
        <v>609</v>
      </c>
      <c r="KK13">
        <v>0.28360000000000002</v>
      </c>
      <c r="KL13">
        <v>28450</v>
      </c>
      <c r="KN13">
        <v>40540</v>
      </c>
      <c r="KO13">
        <v>121100</v>
      </c>
      <c r="KP13">
        <v>219020</v>
      </c>
      <c r="LD13">
        <v>46920</v>
      </c>
      <c r="LL13">
        <v>26080</v>
      </c>
      <c r="LV13">
        <v>56700</v>
      </c>
      <c r="MD13">
        <v>41940</v>
      </c>
      <c r="MQ13">
        <v>38586</v>
      </c>
      <c r="MR13">
        <v>121272</v>
      </c>
      <c r="MS13">
        <v>140181</v>
      </c>
      <c r="NG13">
        <v>44099</v>
      </c>
      <c r="NP13">
        <v>27561</v>
      </c>
      <c r="NY13">
        <v>55123</v>
      </c>
      <c r="OG13">
        <v>44099</v>
      </c>
      <c r="OT13">
        <v>4061</v>
      </c>
      <c r="PA13">
        <v>694</v>
      </c>
      <c r="PB13">
        <v>4072</v>
      </c>
      <c r="PC13">
        <v>389919</v>
      </c>
      <c r="PD13">
        <v>43788</v>
      </c>
      <c r="PE13">
        <v>7989</v>
      </c>
      <c r="PG13">
        <v>4</v>
      </c>
      <c r="PJ13">
        <v>19819</v>
      </c>
      <c r="PM13">
        <v>15429</v>
      </c>
      <c r="PR13">
        <v>100</v>
      </c>
      <c r="PV13">
        <v>4143</v>
      </c>
      <c r="PW13">
        <v>3241</v>
      </c>
      <c r="PX13">
        <v>703</v>
      </c>
      <c r="PY13">
        <v>791</v>
      </c>
      <c r="QD13">
        <v>2</v>
      </c>
      <c r="QE13">
        <v>849</v>
      </c>
      <c r="QK13">
        <v>4</v>
      </c>
      <c r="QM13">
        <v>6</v>
      </c>
      <c r="QS13">
        <v>409</v>
      </c>
      <c r="QW13">
        <v>125</v>
      </c>
      <c r="SE13" s="1">
        <v>46086.322222222225</v>
      </c>
      <c r="SF13">
        <v>28450</v>
      </c>
      <c r="SG13">
        <v>407945</v>
      </c>
      <c r="SH13">
        <v>20</v>
      </c>
      <c r="SI13" t="s">
        <v>567</v>
      </c>
      <c r="SJ13">
        <v>50</v>
      </c>
      <c r="SK13" s="1">
        <v>46108.325694444444</v>
      </c>
      <c r="SZ13">
        <v>8.6999999999999994E-2</v>
      </c>
      <c r="TA13">
        <v>0.83799999999999997</v>
      </c>
      <c r="TB13">
        <v>1.01E-2</v>
      </c>
      <c r="TC13">
        <v>3.0000000000000001E-3</v>
      </c>
      <c r="TD13">
        <v>0.185</v>
      </c>
      <c r="TE13">
        <v>0.151</v>
      </c>
      <c r="TF13">
        <v>8.1000000000000003E-2</v>
      </c>
      <c r="TG13">
        <v>0.10299999999999999</v>
      </c>
      <c r="TH13">
        <v>3.5000000000000003E-2</v>
      </c>
      <c r="TI13">
        <v>3.2000000000000001E-2</v>
      </c>
      <c r="TJ13">
        <v>7.0000000000000001E-3</v>
      </c>
      <c r="TK13">
        <v>2.99065</v>
      </c>
      <c r="TL13">
        <v>7.0000000000000001E-3</v>
      </c>
      <c r="TM13">
        <v>2E-3</v>
      </c>
      <c r="TN13">
        <v>1.5E-3</v>
      </c>
      <c r="TO13">
        <v>2.0999999999999999E-3</v>
      </c>
      <c r="TQ13">
        <v>1.0699999999999999E-2</v>
      </c>
      <c r="TR13" t="s">
        <v>570</v>
      </c>
      <c r="TS13">
        <v>3.2500000000000001E-2</v>
      </c>
      <c r="TU13">
        <v>0.1515</v>
      </c>
      <c r="TV13">
        <v>5.0000000000000001E-3</v>
      </c>
      <c r="UD13">
        <v>0.27</v>
      </c>
      <c r="UE13">
        <v>0.29909999999999998</v>
      </c>
      <c r="UF13">
        <v>0.2</v>
      </c>
      <c r="UH13">
        <v>3.4000000000000002E-4</v>
      </c>
      <c r="UJ13">
        <v>0.38080000000000003</v>
      </c>
      <c r="UK13">
        <v>0.21</v>
      </c>
      <c r="UL13">
        <v>0.34</v>
      </c>
      <c r="UM13">
        <v>1.11E-2</v>
      </c>
      <c r="UN13">
        <v>0.37</v>
      </c>
      <c r="UO13">
        <v>3.9904000000000002</v>
      </c>
      <c r="UP13">
        <v>1.47</v>
      </c>
      <c r="UQ13">
        <v>0.68</v>
      </c>
      <c r="UR13" s="1">
        <v>46086.322222222225</v>
      </c>
    </row>
    <row r="14" spans="1:564" x14ac:dyDescent="0.35">
      <c r="A14">
        <v>28451</v>
      </c>
      <c r="B14">
        <v>18482</v>
      </c>
      <c r="C14">
        <v>850</v>
      </c>
      <c r="D14">
        <v>26130</v>
      </c>
      <c r="G14" t="s">
        <v>608</v>
      </c>
      <c r="H14">
        <v>500000</v>
      </c>
      <c r="L14" t="s">
        <v>586</v>
      </c>
      <c r="M14">
        <v>74.8</v>
      </c>
      <c r="N14">
        <v>330</v>
      </c>
      <c r="O14" t="s">
        <v>596</v>
      </c>
      <c r="P14">
        <v>1</v>
      </c>
      <c r="S14" s="1">
        <v>46107.364155092589</v>
      </c>
      <c r="U14">
        <v>76</v>
      </c>
      <c r="W14">
        <v>8</v>
      </c>
      <c r="X14">
        <v>495910</v>
      </c>
      <c r="Y14" s="1">
        <v>46107.422800925924</v>
      </c>
      <c r="AB14">
        <v>88239</v>
      </c>
      <c r="AC14">
        <v>266</v>
      </c>
      <c r="AD14">
        <v>1074</v>
      </c>
      <c r="AE14">
        <v>230953</v>
      </c>
      <c r="AF14">
        <v>0.16</v>
      </c>
      <c r="AG14">
        <v>215</v>
      </c>
      <c r="AH14">
        <v>2910</v>
      </c>
      <c r="AI14">
        <v>0.1</v>
      </c>
      <c r="AJ14">
        <v>347</v>
      </c>
      <c r="AK14">
        <v>2917</v>
      </c>
      <c r="AO14" s="1">
        <v>46107.423530092594</v>
      </c>
      <c r="AP14">
        <v>2</v>
      </c>
      <c r="AS14" s="1">
        <v>46107.428495370368</v>
      </c>
      <c r="AT14" s="1">
        <v>46107.494479166664</v>
      </c>
      <c r="AU14">
        <v>12</v>
      </c>
      <c r="AV14">
        <v>67</v>
      </c>
      <c r="AY14">
        <v>473529</v>
      </c>
      <c r="AZ14">
        <v>467216</v>
      </c>
      <c r="BA14">
        <v>1170</v>
      </c>
      <c r="BB14">
        <v>2953</v>
      </c>
      <c r="BC14">
        <v>2865</v>
      </c>
      <c r="BG14" s="1">
        <v>46107.495439814818</v>
      </c>
      <c r="BH14" s="1">
        <v>46107.502847222226</v>
      </c>
      <c r="BI14" s="1">
        <v>46107.537442129629</v>
      </c>
      <c r="BJ14" s="1">
        <v>46107.584386574075</v>
      </c>
      <c r="BK14">
        <v>1.1000000000000001</v>
      </c>
      <c r="BM14">
        <v>4116</v>
      </c>
      <c r="BS14" t="s">
        <v>642</v>
      </c>
      <c r="BT14" s="1">
        <v>46107.506319444445</v>
      </c>
      <c r="BU14" s="1">
        <v>46107.548680555556</v>
      </c>
      <c r="BV14" t="b">
        <v>0</v>
      </c>
      <c r="BX14">
        <v>6</v>
      </c>
      <c r="BY14" t="b">
        <v>0</v>
      </c>
      <c r="CD14">
        <v>1</v>
      </c>
      <c r="CF14" s="1">
        <v>46107.222453703704</v>
      </c>
      <c r="CG14" t="b">
        <v>0</v>
      </c>
      <c r="CH14" t="b">
        <v>0</v>
      </c>
      <c r="CI14" t="b">
        <v>0</v>
      </c>
      <c r="CJ14" t="b">
        <v>0</v>
      </c>
      <c r="CK14" t="b">
        <v>0</v>
      </c>
      <c r="CL14" t="b">
        <v>0</v>
      </c>
      <c r="CM14" t="b">
        <v>0</v>
      </c>
      <c r="CN14" t="b">
        <v>0</v>
      </c>
      <c r="CP14">
        <v>6</v>
      </c>
      <c r="CR14">
        <v>2</v>
      </c>
      <c r="CS14">
        <v>2812</v>
      </c>
      <c r="CT14">
        <v>2821</v>
      </c>
      <c r="CU14">
        <v>2829</v>
      </c>
      <c r="CZ14">
        <v>6.47</v>
      </c>
      <c r="DA14">
        <v>6.63</v>
      </c>
      <c r="DB14">
        <v>8.59</v>
      </c>
      <c r="DC14">
        <v>7.97</v>
      </c>
      <c r="DH14">
        <v>4464</v>
      </c>
      <c r="DI14">
        <v>4453</v>
      </c>
      <c r="DJ14">
        <v>416</v>
      </c>
      <c r="DK14">
        <v>416</v>
      </c>
      <c r="DP14">
        <v>4460</v>
      </c>
      <c r="DQ14">
        <v>4448</v>
      </c>
      <c r="DR14">
        <v>412</v>
      </c>
      <c r="DS14">
        <v>412</v>
      </c>
      <c r="DX14">
        <v>4455</v>
      </c>
      <c r="DY14">
        <v>4443</v>
      </c>
      <c r="DZ14">
        <v>415</v>
      </c>
      <c r="EA14">
        <v>416</v>
      </c>
      <c r="EB14" s="1">
        <v>46107.565798611111</v>
      </c>
      <c r="EG14" s="1">
        <v>46107.584386574075</v>
      </c>
      <c r="EJ14" s="1">
        <v>46107.588842592595</v>
      </c>
      <c r="EK14">
        <v>0.06</v>
      </c>
      <c r="EL14">
        <v>548</v>
      </c>
      <c r="EM14">
        <v>2944</v>
      </c>
      <c r="EN14">
        <v>0.04</v>
      </c>
      <c r="EO14">
        <v>858</v>
      </c>
      <c r="EP14">
        <v>3021</v>
      </c>
      <c r="EQ14">
        <v>1.22</v>
      </c>
      <c r="ER14">
        <v>29</v>
      </c>
      <c r="ES14">
        <v>2953</v>
      </c>
      <c r="ET14">
        <v>0</v>
      </c>
      <c r="EU14">
        <v>0</v>
      </c>
      <c r="EV14">
        <v>2872</v>
      </c>
      <c r="EW14">
        <v>0</v>
      </c>
      <c r="EX14">
        <v>0</v>
      </c>
      <c r="EY14">
        <v>2880</v>
      </c>
      <c r="EZ14">
        <v>8.5399999999999991</v>
      </c>
      <c r="FA14">
        <v>4</v>
      </c>
      <c r="FB14">
        <v>2878</v>
      </c>
      <c r="FC14">
        <v>6.3</v>
      </c>
      <c r="FJ14" t="s">
        <v>643</v>
      </c>
      <c r="FK14">
        <v>114</v>
      </c>
      <c r="FL14" s="1">
        <v>46107.588634259257</v>
      </c>
      <c r="FM14">
        <v>132</v>
      </c>
      <c r="FN14" t="s">
        <v>609</v>
      </c>
      <c r="FO14" t="s">
        <v>609</v>
      </c>
      <c r="FP14">
        <v>132</v>
      </c>
      <c r="FQ14" t="s">
        <v>609</v>
      </c>
      <c r="FR14" t="s">
        <v>609</v>
      </c>
      <c r="FS14" t="s">
        <v>610</v>
      </c>
      <c r="FT14" t="s">
        <v>580</v>
      </c>
      <c r="FV14" t="s">
        <v>573</v>
      </c>
      <c r="FW14" t="b">
        <v>0</v>
      </c>
      <c r="GA14" t="s">
        <v>644</v>
      </c>
      <c r="GB14">
        <v>18482</v>
      </c>
      <c r="GC14" s="1">
        <v>46107.506319444445</v>
      </c>
      <c r="GD14" t="s">
        <v>590</v>
      </c>
      <c r="GE14" t="s">
        <v>591</v>
      </c>
      <c r="GF14">
        <v>84</v>
      </c>
      <c r="GG14">
        <v>95</v>
      </c>
      <c r="GH14">
        <v>68</v>
      </c>
      <c r="GI14" t="s">
        <v>565</v>
      </c>
      <c r="GJ14">
        <v>247.96</v>
      </c>
      <c r="GL14">
        <v>48</v>
      </c>
      <c r="GN14" t="s">
        <v>640</v>
      </c>
      <c r="GP14">
        <v>48</v>
      </c>
      <c r="GR14" t="s">
        <v>640</v>
      </c>
      <c r="HI14" s="2">
        <v>46107</v>
      </c>
      <c r="HJ14" t="s">
        <v>583</v>
      </c>
      <c r="HK14" t="s">
        <v>537</v>
      </c>
      <c r="HM14">
        <v>5</v>
      </c>
      <c r="HN14">
        <v>1</v>
      </c>
      <c r="HV14">
        <v>1</v>
      </c>
      <c r="HW14" t="b">
        <v>0</v>
      </c>
      <c r="IB14">
        <v>2860</v>
      </c>
      <c r="IJ14">
        <v>2770</v>
      </c>
      <c r="IK14">
        <v>42</v>
      </c>
      <c r="IL14">
        <v>51</v>
      </c>
      <c r="IM14">
        <v>59</v>
      </c>
      <c r="IO14" t="s">
        <v>601</v>
      </c>
      <c r="IP14" t="s">
        <v>601</v>
      </c>
      <c r="IQ14" t="s">
        <v>584</v>
      </c>
      <c r="IR14">
        <v>6</v>
      </c>
      <c r="IT14" t="s">
        <v>641</v>
      </c>
      <c r="IV14">
        <v>28451</v>
      </c>
      <c r="IW14">
        <v>28447</v>
      </c>
      <c r="IX14">
        <v>28453</v>
      </c>
      <c r="IY14">
        <v>255.12088800000001</v>
      </c>
      <c r="IZ14">
        <v>0</v>
      </c>
      <c r="JA14">
        <v>1.1000000000000001</v>
      </c>
      <c r="JB14">
        <v>0</v>
      </c>
      <c r="JC14">
        <v>1.275604</v>
      </c>
      <c r="JD14">
        <v>256.39649200000002</v>
      </c>
      <c r="JE14">
        <v>257.49649199999999</v>
      </c>
      <c r="JF14">
        <v>99.077399999999997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74.8</v>
      </c>
      <c r="JM14">
        <v>9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8</v>
      </c>
      <c r="JU14">
        <v>0</v>
      </c>
      <c r="JV14">
        <v>0</v>
      </c>
      <c r="JW14">
        <v>510241.77600000001</v>
      </c>
      <c r="JX14">
        <v>2640</v>
      </c>
      <c r="JY14">
        <v>75.2</v>
      </c>
      <c r="JZ14">
        <v>9.0625</v>
      </c>
      <c r="KA14">
        <v>0</v>
      </c>
      <c r="KB14">
        <v>255.12088800000001</v>
      </c>
      <c r="KC14">
        <v>1.275604</v>
      </c>
      <c r="KD14">
        <v>0</v>
      </c>
      <c r="KE14">
        <v>0</v>
      </c>
      <c r="KF14">
        <v>0</v>
      </c>
      <c r="KG14">
        <v>1.1000000000000001</v>
      </c>
      <c r="KH14">
        <v>0</v>
      </c>
      <c r="KI14">
        <v>0</v>
      </c>
      <c r="KJ14" t="s">
        <v>609</v>
      </c>
      <c r="KK14">
        <v>0.28360000000000002</v>
      </c>
      <c r="KL14">
        <v>28451</v>
      </c>
      <c r="KN14">
        <v>38440</v>
      </c>
      <c r="KO14">
        <v>120480</v>
      </c>
      <c r="KP14">
        <v>216780</v>
      </c>
      <c r="LD14">
        <v>43900</v>
      </c>
      <c r="LL14">
        <v>26800</v>
      </c>
      <c r="LV14">
        <v>57040</v>
      </c>
      <c r="MD14">
        <v>43620</v>
      </c>
      <c r="MQ14">
        <v>38586</v>
      </c>
      <c r="MR14">
        <v>121272</v>
      </c>
      <c r="MS14">
        <v>184560</v>
      </c>
      <c r="NG14">
        <v>44099</v>
      </c>
      <c r="NP14">
        <v>27561</v>
      </c>
      <c r="NY14">
        <v>55123</v>
      </c>
      <c r="OG14">
        <v>44099</v>
      </c>
      <c r="OT14">
        <v>4003</v>
      </c>
      <c r="PA14">
        <v>601</v>
      </c>
      <c r="PB14">
        <v>4086</v>
      </c>
      <c r="PC14">
        <v>384959</v>
      </c>
      <c r="PD14">
        <v>42895</v>
      </c>
      <c r="PE14">
        <v>8832</v>
      </c>
      <c r="PG14">
        <v>4</v>
      </c>
      <c r="PJ14">
        <v>18558</v>
      </c>
      <c r="PM14">
        <v>15921</v>
      </c>
      <c r="PR14">
        <v>100</v>
      </c>
      <c r="PV14">
        <v>881</v>
      </c>
      <c r="PW14">
        <v>2689</v>
      </c>
      <c r="PX14">
        <v>703</v>
      </c>
      <c r="PY14">
        <v>2702</v>
      </c>
      <c r="QE14">
        <v>949</v>
      </c>
      <c r="QK14">
        <v>6</v>
      </c>
      <c r="QM14">
        <v>7</v>
      </c>
      <c r="QS14">
        <v>700</v>
      </c>
      <c r="QW14">
        <v>140</v>
      </c>
      <c r="QY14">
        <v>120</v>
      </c>
      <c r="SE14" s="1">
        <v>46086.322222222225</v>
      </c>
      <c r="SF14">
        <v>28451</v>
      </c>
      <c r="SG14">
        <v>407963</v>
      </c>
      <c r="SH14">
        <v>20</v>
      </c>
      <c r="SI14" t="s">
        <v>567</v>
      </c>
      <c r="SJ14">
        <v>50</v>
      </c>
      <c r="SK14" s="1">
        <v>46107.532766203702</v>
      </c>
      <c r="SZ14">
        <v>8.7999999999999995E-2</v>
      </c>
      <c r="TA14">
        <v>0.86</v>
      </c>
      <c r="TB14">
        <v>1.06E-2</v>
      </c>
      <c r="TC14">
        <v>4.3E-3</v>
      </c>
      <c r="TD14">
        <v>0.182</v>
      </c>
      <c r="TE14">
        <v>0.156</v>
      </c>
      <c r="TF14">
        <v>8.7999999999999995E-2</v>
      </c>
      <c r="TG14">
        <v>0.10199999999999999</v>
      </c>
      <c r="TH14">
        <v>3.5999999999999997E-2</v>
      </c>
      <c r="TI14">
        <v>3.3000000000000002E-2</v>
      </c>
      <c r="TJ14">
        <v>7.0000000000000001E-3</v>
      </c>
      <c r="TK14">
        <v>3.9058799999999998</v>
      </c>
      <c r="TL14">
        <v>6.0000000000000001E-3</v>
      </c>
      <c r="TM14">
        <v>1.4E-3</v>
      </c>
      <c r="TN14">
        <v>2.5999999999999999E-3</v>
      </c>
      <c r="TO14">
        <v>1.8E-3</v>
      </c>
      <c r="TQ14">
        <v>8.5000000000000006E-3</v>
      </c>
      <c r="TR14" t="s">
        <v>570</v>
      </c>
      <c r="TS14">
        <v>3.1099999999999999E-2</v>
      </c>
      <c r="TU14">
        <v>0.15409999999999999</v>
      </c>
      <c r="TV14">
        <v>5.0000000000000001E-3</v>
      </c>
      <c r="UD14">
        <v>0.27</v>
      </c>
      <c r="UE14">
        <v>0.30499999999999999</v>
      </c>
      <c r="UF14">
        <v>0.21</v>
      </c>
      <c r="UH14">
        <v>2.7999999999999998E-4</v>
      </c>
      <c r="UJ14">
        <v>0.39360000000000001</v>
      </c>
      <c r="UK14">
        <v>0.21</v>
      </c>
      <c r="UL14">
        <v>0.35</v>
      </c>
      <c r="UM14">
        <v>9.1999999999999998E-3</v>
      </c>
      <c r="UN14">
        <v>0.38200000000000001</v>
      </c>
      <c r="UO14">
        <v>4.0749000000000004</v>
      </c>
      <c r="UP14">
        <v>1.53</v>
      </c>
      <c r="UQ14">
        <v>0.65</v>
      </c>
      <c r="UR14" s="1">
        <v>46086.322222222225</v>
      </c>
    </row>
    <row r="15" spans="1:564" x14ac:dyDescent="0.35">
      <c r="A15">
        <v>28452</v>
      </c>
      <c r="B15">
        <v>18483</v>
      </c>
      <c r="C15">
        <v>850</v>
      </c>
      <c r="D15">
        <v>26130</v>
      </c>
      <c r="G15" t="s">
        <v>608</v>
      </c>
      <c r="H15">
        <v>500000</v>
      </c>
      <c r="L15" t="s">
        <v>586</v>
      </c>
      <c r="M15">
        <v>74.8</v>
      </c>
      <c r="N15">
        <v>330</v>
      </c>
      <c r="O15" t="s">
        <v>596</v>
      </c>
      <c r="P15">
        <v>2</v>
      </c>
      <c r="S15" s="1">
        <v>46107.422800925924</v>
      </c>
      <c r="U15">
        <v>76</v>
      </c>
      <c r="W15">
        <v>9</v>
      </c>
      <c r="X15">
        <v>472211</v>
      </c>
      <c r="Y15" s="1">
        <v>46107.48232638889</v>
      </c>
      <c r="AB15">
        <v>87343</v>
      </c>
      <c r="AC15">
        <v>267</v>
      </c>
      <c r="AD15">
        <v>1075</v>
      </c>
      <c r="AE15">
        <v>236751</v>
      </c>
      <c r="AF15">
        <v>0.24</v>
      </c>
      <c r="AG15">
        <v>144</v>
      </c>
      <c r="AH15">
        <v>2888</v>
      </c>
      <c r="AI15">
        <v>0.08</v>
      </c>
      <c r="AJ15">
        <v>445</v>
      </c>
      <c r="AK15">
        <v>2977</v>
      </c>
      <c r="AO15" s="1">
        <v>46107.482928240737</v>
      </c>
      <c r="AP15">
        <v>1</v>
      </c>
      <c r="AS15" s="1">
        <v>46107.487638888888</v>
      </c>
      <c r="AT15" s="1">
        <v>46107.539513888885</v>
      </c>
      <c r="AU15">
        <v>9</v>
      </c>
      <c r="AV15">
        <v>56</v>
      </c>
      <c r="AY15">
        <v>484589</v>
      </c>
      <c r="AZ15">
        <v>479995</v>
      </c>
      <c r="BA15">
        <v>900</v>
      </c>
      <c r="BB15">
        <v>2986</v>
      </c>
      <c r="BC15">
        <v>2859</v>
      </c>
      <c r="BG15" s="1">
        <v>46107.540243055555</v>
      </c>
      <c r="BH15" s="1">
        <v>46107.547581018516</v>
      </c>
      <c r="BI15" s="1">
        <v>46107.584409722222</v>
      </c>
      <c r="BJ15" s="1">
        <v>46107.637465277781</v>
      </c>
      <c r="BK15">
        <v>1.1000000000000001</v>
      </c>
      <c r="BM15">
        <v>4116</v>
      </c>
      <c r="BS15" t="s">
        <v>682</v>
      </c>
      <c r="BT15" s="1">
        <v>46107.551747685182</v>
      </c>
      <c r="BU15" s="1">
        <v>46107.596886574072</v>
      </c>
      <c r="BV15" t="b">
        <v>1</v>
      </c>
      <c r="BX15">
        <v>6</v>
      </c>
      <c r="BY15" t="b">
        <v>0</v>
      </c>
      <c r="BZ15">
        <v>1</v>
      </c>
      <c r="CD15">
        <v>1</v>
      </c>
      <c r="CF15" s="1">
        <v>46107.222291666665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  <c r="CN15" t="b">
        <v>0</v>
      </c>
      <c r="CP15">
        <v>6</v>
      </c>
      <c r="CR15">
        <v>2</v>
      </c>
      <c r="CS15">
        <v>2813</v>
      </c>
      <c r="CT15">
        <v>2817</v>
      </c>
      <c r="CU15">
        <v>2815</v>
      </c>
      <c r="CZ15">
        <v>6.25</v>
      </c>
      <c r="DA15">
        <v>6.61</v>
      </c>
      <c r="DB15">
        <v>8.6999999999999993</v>
      </c>
      <c r="DC15">
        <v>8.07</v>
      </c>
      <c r="DH15">
        <v>4462</v>
      </c>
      <c r="DI15">
        <v>4455</v>
      </c>
      <c r="DJ15">
        <v>415</v>
      </c>
      <c r="DK15">
        <v>416</v>
      </c>
      <c r="DP15">
        <v>4446</v>
      </c>
      <c r="DQ15">
        <v>4459</v>
      </c>
      <c r="DR15">
        <v>417</v>
      </c>
      <c r="DS15">
        <v>415</v>
      </c>
      <c r="DX15">
        <v>4414</v>
      </c>
      <c r="DY15">
        <v>4449</v>
      </c>
      <c r="DZ15">
        <v>415</v>
      </c>
      <c r="EA15">
        <v>417</v>
      </c>
      <c r="EB15" s="1">
        <v>46107.597349537034</v>
      </c>
      <c r="EG15" s="1">
        <v>46107.637465277781</v>
      </c>
      <c r="EJ15" s="1">
        <v>46107.641851851855</v>
      </c>
      <c r="EK15">
        <v>0.04</v>
      </c>
      <c r="EL15">
        <v>892</v>
      </c>
      <c r="EM15">
        <v>3042</v>
      </c>
      <c r="EQ15">
        <v>1.1200000000000001</v>
      </c>
      <c r="ER15">
        <v>32</v>
      </c>
      <c r="ES15">
        <v>2986</v>
      </c>
      <c r="ET15">
        <v>0</v>
      </c>
      <c r="EU15">
        <v>0</v>
      </c>
      <c r="EV15">
        <v>2930</v>
      </c>
      <c r="EW15">
        <v>0</v>
      </c>
      <c r="EX15">
        <v>0</v>
      </c>
      <c r="EY15">
        <v>2877</v>
      </c>
      <c r="EZ15">
        <v>0</v>
      </c>
      <c r="FA15">
        <v>0</v>
      </c>
      <c r="FB15">
        <v>2859</v>
      </c>
      <c r="FC15">
        <v>6.2</v>
      </c>
      <c r="FJ15" t="s">
        <v>683</v>
      </c>
      <c r="FK15">
        <v>114</v>
      </c>
      <c r="FL15" s="1">
        <v>46107.641643518517</v>
      </c>
      <c r="FM15">
        <v>132</v>
      </c>
      <c r="FN15" t="s">
        <v>609</v>
      </c>
      <c r="FO15" t="s">
        <v>609</v>
      </c>
      <c r="FP15">
        <v>132</v>
      </c>
      <c r="FQ15" t="s">
        <v>609</v>
      </c>
      <c r="FR15" t="s">
        <v>609</v>
      </c>
      <c r="FS15" t="s">
        <v>610</v>
      </c>
      <c r="FT15" t="s">
        <v>582</v>
      </c>
      <c r="FV15" t="s">
        <v>573</v>
      </c>
      <c r="FW15" t="b">
        <v>0</v>
      </c>
      <c r="GA15" t="s">
        <v>684</v>
      </c>
      <c r="GB15">
        <v>18483</v>
      </c>
      <c r="GC15" s="1">
        <v>46107.551747685182</v>
      </c>
      <c r="GD15" t="s">
        <v>590</v>
      </c>
      <c r="GE15" t="s">
        <v>591</v>
      </c>
      <c r="GF15">
        <v>86</v>
      </c>
      <c r="GG15">
        <v>74</v>
      </c>
      <c r="GH15">
        <v>76</v>
      </c>
      <c r="GI15" t="s">
        <v>574</v>
      </c>
      <c r="GJ15">
        <v>236.11</v>
      </c>
      <c r="GL15">
        <v>48</v>
      </c>
      <c r="GN15" t="s">
        <v>640</v>
      </c>
      <c r="GP15">
        <v>48</v>
      </c>
      <c r="GR15" t="s">
        <v>640</v>
      </c>
      <c r="HI15" s="2">
        <v>46107</v>
      </c>
      <c r="HJ15" t="s">
        <v>583</v>
      </c>
      <c r="HK15" t="s">
        <v>537</v>
      </c>
      <c r="HM15">
        <v>6</v>
      </c>
      <c r="HN15">
        <v>1</v>
      </c>
      <c r="HV15">
        <v>2</v>
      </c>
      <c r="HW15" t="b">
        <v>0</v>
      </c>
      <c r="IB15">
        <v>2860</v>
      </c>
      <c r="IE15" t="s">
        <v>685</v>
      </c>
      <c r="IG15">
        <v>1</v>
      </c>
      <c r="IJ15">
        <v>2770</v>
      </c>
      <c r="IK15">
        <v>43</v>
      </c>
      <c r="IL15">
        <v>47</v>
      </c>
      <c r="IM15">
        <v>45</v>
      </c>
      <c r="IO15" t="s">
        <v>601</v>
      </c>
      <c r="IP15" t="s">
        <v>601</v>
      </c>
      <c r="IQ15" t="s">
        <v>584</v>
      </c>
      <c r="IR15">
        <v>10</v>
      </c>
      <c r="IT15" t="s">
        <v>641</v>
      </c>
      <c r="IV15">
        <v>28452</v>
      </c>
      <c r="IW15">
        <v>28447</v>
      </c>
      <c r="IX15">
        <v>28453</v>
      </c>
      <c r="IY15">
        <v>255.12088800000001</v>
      </c>
      <c r="IZ15">
        <v>0</v>
      </c>
      <c r="JA15">
        <v>1.1000000000000001</v>
      </c>
      <c r="JB15">
        <v>0</v>
      </c>
      <c r="JC15">
        <v>1.275604</v>
      </c>
      <c r="JD15">
        <v>256.39649200000002</v>
      </c>
      <c r="JE15">
        <v>257.49649199999999</v>
      </c>
      <c r="JF15">
        <v>99.077399999999997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74.8</v>
      </c>
      <c r="JM15">
        <v>9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8</v>
      </c>
      <c r="JU15">
        <v>0</v>
      </c>
      <c r="JV15">
        <v>0</v>
      </c>
      <c r="JW15">
        <v>510241.77600000001</v>
      </c>
      <c r="JX15">
        <v>2640</v>
      </c>
      <c r="JY15">
        <v>75.2</v>
      </c>
      <c r="JZ15">
        <v>9.0625</v>
      </c>
      <c r="KA15">
        <v>0</v>
      </c>
      <c r="KB15">
        <v>255.12088800000001</v>
      </c>
      <c r="KC15">
        <v>1.275604</v>
      </c>
      <c r="KD15">
        <v>0</v>
      </c>
      <c r="KE15">
        <v>0</v>
      </c>
      <c r="KF15">
        <v>0</v>
      </c>
      <c r="KG15">
        <v>1.1000000000000001</v>
      </c>
      <c r="KH15">
        <v>0</v>
      </c>
      <c r="KI15">
        <v>0</v>
      </c>
      <c r="KJ15" t="s">
        <v>609</v>
      </c>
      <c r="KK15">
        <v>0.28360000000000002</v>
      </c>
      <c r="KL15">
        <v>28452</v>
      </c>
      <c r="KN15">
        <v>37220</v>
      </c>
      <c r="KO15">
        <v>120960</v>
      </c>
      <c r="KP15">
        <v>246720</v>
      </c>
      <c r="LD15">
        <v>43240</v>
      </c>
      <c r="LV15">
        <v>56680</v>
      </c>
      <c r="MD15">
        <v>45820</v>
      </c>
      <c r="MQ15">
        <v>38586</v>
      </c>
      <c r="MR15">
        <v>121272</v>
      </c>
      <c r="MS15">
        <v>193753</v>
      </c>
      <c r="NG15">
        <v>44099</v>
      </c>
      <c r="NP15">
        <v>27561</v>
      </c>
      <c r="NY15">
        <v>55123</v>
      </c>
      <c r="OG15">
        <v>44099</v>
      </c>
      <c r="OT15">
        <v>4106</v>
      </c>
      <c r="PA15">
        <v>695</v>
      </c>
      <c r="PB15">
        <v>4095</v>
      </c>
      <c r="PC15">
        <v>382918</v>
      </c>
      <c r="PD15">
        <v>43174</v>
      </c>
      <c r="PE15">
        <v>8857</v>
      </c>
      <c r="PG15">
        <v>3</v>
      </c>
      <c r="PJ15">
        <v>19162</v>
      </c>
      <c r="PM15">
        <v>15652</v>
      </c>
      <c r="PR15">
        <v>100</v>
      </c>
      <c r="PV15">
        <v>735</v>
      </c>
      <c r="PW15">
        <v>2829</v>
      </c>
      <c r="PX15">
        <v>703</v>
      </c>
      <c r="PY15">
        <v>994</v>
      </c>
      <c r="QD15">
        <v>110</v>
      </c>
      <c r="QE15">
        <v>849</v>
      </c>
      <c r="QK15">
        <v>4</v>
      </c>
      <c r="QM15">
        <v>7</v>
      </c>
      <c r="QS15">
        <v>300</v>
      </c>
      <c r="QW15">
        <v>100</v>
      </c>
      <c r="SE15" s="1">
        <v>46086.322222222225</v>
      </c>
      <c r="SF15">
        <v>28452</v>
      </c>
      <c r="SG15">
        <v>407982</v>
      </c>
      <c r="SH15">
        <v>20</v>
      </c>
      <c r="SI15" t="s">
        <v>567</v>
      </c>
      <c r="SJ15">
        <v>50</v>
      </c>
      <c r="SK15" s="1">
        <v>46107.575300925928</v>
      </c>
      <c r="SZ15">
        <v>8.8999999999999996E-2</v>
      </c>
      <c r="TA15">
        <v>0.84399999999999997</v>
      </c>
      <c r="TB15">
        <v>1.09E-2</v>
      </c>
      <c r="TC15">
        <v>4.0000000000000001E-3</v>
      </c>
      <c r="TD15">
        <v>0.184</v>
      </c>
      <c r="TE15">
        <v>0.16600000000000001</v>
      </c>
      <c r="TF15">
        <v>9.5000000000000001E-2</v>
      </c>
      <c r="TG15">
        <v>0.10100000000000001</v>
      </c>
      <c r="TH15">
        <v>3.5999999999999997E-2</v>
      </c>
      <c r="TI15">
        <v>3.4000000000000002E-2</v>
      </c>
      <c r="TJ15">
        <v>8.0000000000000002E-3</v>
      </c>
      <c r="TK15">
        <v>4.04819</v>
      </c>
      <c r="TL15">
        <v>6.0000000000000001E-3</v>
      </c>
      <c r="TM15">
        <v>1.5E-3</v>
      </c>
      <c r="TN15">
        <v>1.8E-3</v>
      </c>
      <c r="TO15">
        <v>2E-3</v>
      </c>
      <c r="TQ15">
        <v>8.3000000000000001E-3</v>
      </c>
      <c r="TR15" t="s">
        <v>570</v>
      </c>
      <c r="TS15">
        <v>3.09E-2</v>
      </c>
      <c r="TU15">
        <v>0.15479999999999999</v>
      </c>
      <c r="TV15">
        <v>5.3E-3</v>
      </c>
      <c r="UD15">
        <v>0.27</v>
      </c>
      <c r="UE15">
        <v>0.30520000000000003</v>
      </c>
      <c r="UF15">
        <v>0.24</v>
      </c>
      <c r="UH15">
        <v>2.7999999999999998E-4</v>
      </c>
      <c r="UJ15">
        <v>0.41</v>
      </c>
      <c r="UK15">
        <v>0.23</v>
      </c>
      <c r="UL15">
        <v>0.36</v>
      </c>
      <c r="UM15">
        <v>9.4999999999999998E-3</v>
      </c>
      <c r="UN15">
        <v>0.39800000000000002</v>
      </c>
      <c r="UO15">
        <v>4.2336999999999998</v>
      </c>
      <c r="UP15">
        <v>1.64</v>
      </c>
      <c r="UQ15">
        <v>0.61</v>
      </c>
      <c r="UR15" s="1">
        <v>46086.322222222225</v>
      </c>
    </row>
    <row r="16" spans="1:564" x14ac:dyDescent="0.35">
      <c r="A16">
        <v>28453</v>
      </c>
      <c r="B16">
        <v>18484</v>
      </c>
      <c r="C16">
        <v>850</v>
      </c>
      <c r="D16">
        <v>26129</v>
      </c>
      <c r="G16" t="s">
        <v>608</v>
      </c>
      <c r="H16">
        <v>500000</v>
      </c>
      <c r="L16" t="s">
        <v>586</v>
      </c>
      <c r="M16">
        <v>74.8</v>
      </c>
      <c r="N16">
        <v>330</v>
      </c>
      <c r="O16" t="s">
        <v>596</v>
      </c>
      <c r="P16">
        <v>3</v>
      </c>
      <c r="S16" s="1">
        <v>46107.48232638889</v>
      </c>
      <c r="U16">
        <v>69</v>
      </c>
      <c r="W16">
        <v>15</v>
      </c>
      <c r="X16">
        <v>495910</v>
      </c>
      <c r="Y16" s="1">
        <v>46107.541504629633</v>
      </c>
      <c r="AB16">
        <v>77701</v>
      </c>
      <c r="AC16">
        <v>268</v>
      </c>
      <c r="AD16">
        <v>1076</v>
      </c>
      <c r="AE16">
        <v>240140</v>
      </c>
      <c r="AF16">
        <v>0.16</v>
      </c>
      <c r="AG16">
        <v>224</v>
      </c>
      <c r="AH16">
        <v>2966</v>
      </c>
      <c r="AI16">
        <v>0.06</v>
      </c>
      <c r="AJ16">
        <v>619</v>
      </c>
      <c r="AK16">
        <v>3014</v>
      </c>
      <c r="AL16">
        <v>6</v>
      </c>
      <c r="AM16" t="s">
        <v>636</v>
      </c>
      <c r="AO16" s="1">
        <v>46107.556562500002</v>
      </c>
      <c r="AP16">
        <v>2</v>
      </c>
      <c r="AS16" s="1">
        <v>46107.547800925924</v>
      </c>
      <c r="AT16" s="1">
        <v>46107.583368055559</v>
      </c>
      <c r="AU16">
        <v>3</v>
      </c>
      <c r="AV16">
        <v>40</v>
      </c>
      <c r="AY16">
        <v>470266</v>
      </c>
      <c r="AZ16">
        <v>464427</v>
      </c>
      <c r="BA16">
        <v>290</v>
      </c>
      <c r="BB16">
        <v>2969</v>
      </c>
      <c r="BC16">
        <v>2868</v>
      </c>
      <c r="BD16">
        <v>0</v>
      </c>
      <c r="BG16" s="1">
        <v>46107.584016203706</v>
      </c>
      <c r="BH16" s="1">
        <v>46107.591967592591</v>
      </c>
      <c r="BI16" s="1">
        <v>46107.637488425928</v>
      </c>
      <c r="BJ16" s="1">
        <v>46107.67827546296</v>
      </c>
      <c r="BK16">
        <v>1.1000000000000001</v>
      </c>
      <c r="BL16">
        <v>7</v>
      </c>
      <c r="BM16">
        <v>4116</v>
      </c>
      <c r="BT16" s="1">
        <v>46107.598217592589</v>
      </c>
      <c r="BU16" s="1">
        <v>46107.64266203704</v>
      </c>
      <c r="BV16" t="b">
        <v>0</v>
      </c>
      <c r="BX16">
        <v>6</v>
      </c>
      <c r="BY16" t="b">
        <v>0</v>
      </c>
      <c r="CD16">
        <v>1</v>
      </c>
      <c r="CG16" t="b">
        <v>0</v>
      </c>
      <c r="CH16" t="b">
        <v>0</v>
      </c>
      <c r="CI16" t="b">
        <v>0</v>
      </c>
      <c r="CJ16" t="b">
        <v>0</v>
      </c>
      <c r="CK16" t="b">
        <v>0</v>
      </c>
      <c r="CL16" t="b">
        <v>0</v>
      </c>
      <c r="CM16" t="b">
        <v>0</v>
      </c>
      <c r="CN16" t="b">
        <v>0</v>
      </c>
      <c r="CP16">
        <v>6</v>
      </c>
      <c r="CR16">
        <v>2</v>
      </c>
      <c r="CS16">
        <v>2806</v>
      </c>
      <c r="CT16">
        <v>2814</v>
      </c>
      <c r="CU16">
        <v>2817</v>
      </c>
      <c r="CZ16">
        <v>6.47</v>
      </c>
      <c r="DA16">
        <v>6.63</v>
      </c>
      <c r="DB16">
        <v>8.66</v>
      </c>
      <c r="DC16">
        <v>8.18</v>
      </c>
      <c r="DH16">
        <v>4474</v>
      </c>
      <c r="DI16">
        <v>4454</v>
      </c>
      <c r="DJ16">
        <v>416</v>
      </c>
      <c r="DK16">
        <v>416</v>
      </c>
      <c r="DP16">
        <v>4451</v>
      </c>
      <c r="DQ16">
        <v>4460</v>
      </c>
      <c r="DR16">
        <v>416</v>
      </c>
      <c r="DS16">
        <v>417</v>
      </c>
      <c r="DX16">
        <v>4429</v>
      </c>
      <c r="DY16">
        <v>4454</v>
      </c>
      <c r="DZ16">
        <v>416</v>
      </c>
      <c r="EA16">
        <v>416</v>
      </c>
      <c r="EB16" s="1">
        <v>46107.656863425924</v>
      </c>
      <c r="EF16">
        <v>30</v>
      </c>
      <c r="EG16" s="1">
        <v>46107.67827546296</v>
      </c>
      <c r="EJ16" s="1">
        <v>46107.695613425924</v>
      </c>
      <c r="EK16">
        <v>0.04</v>
      </c>
      <c r="EL16">
        <v>898</v>
      </c>
      <c r="EM16">
        <v>3043</v>
      </c>
      <c r="EQ16">
        <v>8.91</v>
      </c>
      <c r="ER16">
        <v>4</v>
      </c>
      <c r="ES16">
        <v>2969</v>
      </c>
      <c r="ET16">
        <v>0</v>
      </c>
      <c r="EU16">
        <v>0</v>
      </c>
      <c r="EV16">
        <v>32</v>
      </c>
      <c r="EW16">
        <v>0</v>
      </c>
      <c r="EX16">
        <v>0</v>
      </c>
      <c r="EY16">
        <v>2895</v>
      </c>
      <c r="EZ16">
        <v>0</v>
      </c>
      <c r="FA16">
        <v>0</v>
      </c>
      <c r="FB16">
        <v>2868</v>
      </c>
      <c r="FC16">
        <v>6.4</v>
      </c>
      <c r="FJ16" t="s">
        <v>705</v>
      </c>
      <c r="FK16">
        <v>97</v>
      </c>
      <c r="FL16" s="1">
        <v>46107.695405092592</v>
      </c>
      <c r="FM16">
        <v>132</v>
      </c>
      <c r="FN16" t="s">
        <v>609</v>
      </c>
      <c r="FO16" t="s">
        <v>609</v>
      </c>
      <c r="FP16">
        <v>132</v>
      </c>
      <c r="FQ16" t="s">
        <v>609</v>
      </c>
      <c r="FR16" t="s">
        <v>609</v>
      </c>
      <c r="FS16" t="s">
        <v>610</v>
      </c>
      <c r="FT16" t="s">
        <v>572</v>
      </c>
      <c r="FV16" t="s">
        <v>573</v>
      </c>
      <c r="FW16" t="b">
        <v>0</v>
      </c>
      <c r="GA16" t="s">
        <v>706</v>
      </c>
      <c r="GB16">
        <v>18484</v>
      </c>
      <c r="GC16" s="1">
        <v>46107.598217592589</v>
      </c>
      <c r="GD16" t="s">
        <v>590</v>
      </c>
      <c r="GE16" t="s">
        <v>591</v>
      </c>
      <c r="GF16">
        <v>85</v>
      </c>
      <c r="GG16">
        <v>52</v>
      </c>
      <c r="GH16">
        <v>59</v>
      </c>
      <c r="GI16" t="s">
        <v>565</v>
      </c>
      <c r="GJ16">
        <v>247.96</v>
      </c>
      <c r="GL16">
        <v>48</v>
      </c>
      <c r="GN16" t="s">
        <v>640</v>
      </c>
      <c r="GP16">
        <v>48</v>
      </c>
      <c r="GR16" t="s">
        <v>640</v>
      </c>
      <c r="GT16">
        <v>1946</v>
      </c>
      <c r="GV16">
        <v>10.6</v>
      </c>
      <c r="GX16">
        <v>10.3</v>
      </c>
      <c r="GZ16">
        <v>8.9</v>
      </c>
      <c r="HB16">
        <v>9.4</v>
      </c>
      <c r="HD16">
        <v>74.75</v>
      </c>
      <c r="HF16">
        <v>75</v>
      </c>
      <c r="HI16" s="2">
        <v>46107</v>
      </c>
      <c r="HJ16" t="s">
        <v>583</v>
      </c>
      <c r="HK16" t="s">
        <v>537</v>
      </c>
      <c r="HM16">
        <v>7</v>
      </c>
      <c r="HN16">
        <v>1</v>
      </c>
      <c r="HV16">
        <v>1</v>
      </c>
      <c r="HW16" t="b">
        <v>1</v>
      </c>
      <c r="HX16" s="1">
        <v>46107.653298611112</v>
      </c>
      <c r="HY16" t="b">
        <v>0</v>
      </c>
      <c r="IB16">
        <v>2860</v>
      </c>
      <c r="IJ16">
        <v>2770</v>
      </c>
      <c r="IK16">
        <v>36</v>
      </c>
      <c r="IL16">
        <v>44</v>
      </c>
      <c r="IM16">
        <v>47</v>
      </c>
      <c r="IO16" t="s">
        <v>601</v>
      </c>
      <c r="IP16" t="s">
        <v>601</v>
      </c>
      <c r="IQ16" t="s">
        <v>584</v>
      </c>
      <c r="IR16">
        <v>3</v>
      </c>
      <c r="IT16" t="s">
        <v>641</v>
      </c>
      <c r="IU16" s="1">
        <v>46107.678252314814</v>
      </c>
      <c r="IV16">
        <v>28453</v>
      </c>
      <c r="IW16">
        <v>28447</v>
      </c>
      <c r="IX16">
        <v>28453</v>
      </c>
      <c r="IY16">
        <v>218.882125</v>
      </c>
      <c r="IZ16">
        <v>2.8991009999999999</v>
      </c>
      <c r="JA16">
        <v>8.1</v>
      </c>
      <c r="JB16">
        <v>0</v>
      </c>
      <c r="JC16">
        <v>1.1089059999999999</v>
      </c>
      <c r="JD16">
        <v>222.89013199999999</v>
      </c>
      <c r="JE16">
        <v>230.99013199999999</v>
      </c>
      <c r="JF16">
        <v>94.758200000000002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74.8</v>
      </c>
      <c r="JM16">
        <v>9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7</v>
      </c>
      <c r="JU16">
        <v>0</v>
      </c>
      <c r="JV16">
        <v>30</v>
      </c>
      <c r="JW16">
        <v>437764.25099999999</v>
      </c>
      <c r="JX16">
        <v>2265</v>
      </c>
      <c r="JY16">
        <v>75.2</v>
      </c>
      <c r="JZ16">
        <v>9.0625</v>
      </c>
      <c r="KA16">
        <v>30</v>
      </c>
      <c r="KB16">
        <v>218.882125</v>
      </c>
      <c r="KC16">
        <v>1.1089059999999999</v>
      </c>
      <c r="KD16">
        <v>2.8991009999999999</v>
      </c>
      <c r="KE16">
        <v>0</v>
      </c>
      <c r="KF16">
        <v>5798.2020000000002</v>
      </c>
      <c r="KG16">
        <v>1.1000000000000001</v>
      </c>
      <c r="KH16">
        <v>7</v>
      </c>
      <c r="KI16">
        <v>0</v>
      </c>
      <c r="KJ16" t="s">
        <v>609</v>
      </c>
      <c r="KK16">
        <v>0.28360000000000002</v>
      </c>
      <c r="KL16">
        <v>28453</v>
      </c>
      <c r="KN16">
        <v>38520</v>
      </c>
      <c r="KO16">
        <v>121900</v>
      </c>
      <c r="KP16">
        <v>235860</v>
      </c>
      <c r="LD16">
        <v>42800</v>
      </c>
      <c r="LV16">
        <v>56640</v>
      </c>
      <c r="MD16">
        <v>44480</v>
      </c>
      <c r="MP16">
        <v>198445</v>
      </c>
      <c r="MQ16">
        <v>38586</v>
      </c>
      <c r="MR16">
        <v>121272</v>
      </c>
      <c r="MS16">
        <v>156165</v>
      </c>
      <c r="MZ16">
        <v>44099</v>
      </c>
      <c r="NG16">
        <v>44099</v>
      </c>
      <c r="NP16">
        <v>27561</v>
      </c>
      <c r="NY16">
        <v>55123</v>
      </c>
      <c r="OG16">
        <v>44099</v>
      </c>
      <c r="OT16">
        <v>4039</v>
      </c>
      <c r="PA16">
        <v>617</v>
      </c>
      <c r="PB16">
        <v>4023</v>
      </c>
      <c r="PC16">
        <v>399035</v>
      </c>
      <c r="PD16">
        <v>43346</v>
      </c>
      <c r="PE16">
        <v>10434</v>
      </c>
      <c r="PG16">
        <v>3</v>
      </c>
      <c r="PJ16">
        <v>18304</v>
      </c>
      <c r="PM16">
        <v>15730</v>
      </c>
      <c r="PR16">
        <v>100</v>
      </c>
      <c r="PV16">
        <v>1434</v>
      </c>
      <c r="PW16">
        <v>3684</v>
      </c>
      <c r="PX16">
        <v>728</v>
      </c>
      <c r="PY16">
        <v>1290</v>
      </c>
      <c r="QD16">
        <v>400</v>
      </c>
      <c r="QE16">
        <v>949</v>
      </c>
      <c r="QK16">
        <v>4</v>
      </c>
      <c r="QM16">
        <v>6</v>
      </c>
      <c r="QS16">
        <v>397</v>
      </c>
      <c r="QY16">
        <v>160</v>
      </c>
      <c r="SE16" s="1">
        <v>46086.322222222225</v>
      </c>
      <c r="SF16">
        <v>28453</v>
      </c>
      <c r="SG16">
        <v>407998</v>
      </c>
      <c r="SH16">
        <v>20</v>
      </c>
      <c r="SI16" t="s">
        <v>567</v>
      </c>
      <c r="SJ16">
        <v>50</v>
      </c>
      <c r="SK16" s="1">
        <v>46107.654027777775</v>
      </c>
      <c r="SZ16">
        <v>0.09</v>
      </c>
      <c r="TA16">
        <v>0.86699999999999999</v>
      </c>
      <c r="TB16">
        <v>1.04E-2</v>
      </c>
      <c r="TC16">
        <v>2.0999999999999999E-3</v>
      </c>
      <c r="TD16">
        <v>0.185</v>
      </c>
      <c r="TE16">
        <v>0.156</v>
      </c>
      <c r="TF16">
        <v>9.1999999999999998E-2</v>
      </c>
      <c r="TG16">
        <v>0.10299999999999999</v>
      </c>
      <c r="TH16">
        <v>3.6999999999999998E-2</v>
      </c>
      <c r="TI16">
        <v>3.3000000000000002E-2</v>
      </c>
      <c r="TJ16">
        <v>8.9999999999999993E-3</v>
      </c>
      <c r="TK16">
        <v>3.3505199999999999</v>
      </c>
      <c r="TL16">
        <v>6.0000000000000001E-3</v>
      </c>
      <c r="TM16">
        <v>1.4E-3</v>
      </c>
      <c r="TN16">
        <v>1.8E-3</v>
      </c>
      <c r="TO16">
        <v>1.8E-3</v>
      </c>
      <c r="TQ16">
        <v>9.7000000000000003E-3</v>
      </c>
      <c r="TR16" t="s">
        <v>570</v>
      </c>
      <c r="TS16">
        <v>3.09E-2</v>
      </c>
      <c r="TU16">
        <v>0.15709999999999999</v>
      </c>
      <c r="TV16">
        <v>5.3E-3</v>
      </c>
      <c r="UD16">
        <v>0.28000000000000003</v>
      </c>
      <c r="UE16">
        <v>0.31</v>
      </c>
      <c r="UF16">
        <v>0.19</v>
      </c>
      <c r="UH16">
        <v>3.2000000000000003E-4</v>
      </c>
      <c r="UJ16">
        <v>0.40010000000000001</v>
      </c>
      <c r="UK16">
        <v>0.22</v>
      </c>
      <c r="UL16">
        <v>0.35</v>
      </c>
      <c r="UM16">
        <v>9.1999999999999998E-3</v>
      </c>
      <c r="UN16">
        <v>0.38800000000000001</v>
      </c>
      <c r="UO16">
        <v>4.0834999999999999</v>
      </c>
      <c r="UP16">
        <v>1.51</v>
      </c>
      <c r="UQ16">
        <v>0.66</v>
      </c>
      <c r="UR16" s="1">
        <v>46086.322222222225</v>
      </c>
    </row>
    <row r="17" spans="1:564" x14ac:dyDescent="0.35">
      <c r="A17">
        <v>28454</v>
      </c>
      <c r="B17">
        <v>18491</v>
      </c>
      <c r="C17">
        <v>850</v>
      </c>
      <c r="D17">
        <v>26131</v>
      </c>
      <c r="G17" t="s">
        <v>645</v>
      </c>
      <c r="H17">
        <v>500000</v>
      </c>
      <c r="L17" t="s">
        <v>586</v>
      </c>
      <c r="M17">
        <v>74.8</v>
      </c>
      <c r="N17">
        <v>330</v>
      </c>
      <c r="O17" t="s">
        <v>596</v>
      </c>
      <c r="P17">
        <v>5</v>
      </c>
      <c r="S17" s="1">
        <v>46107.949837962966</v>
      </c>
      <c r="U17">
        <v>43</v>
      </c>
      <c r="W17">
        <v>10</v>
      </c>
      <c r="X17">
        <v>436791</v>
      </c>
      <c r="Y17" s="1">
        <v>46107.987083333333</v>
      </c>
      <c r="AB17">
        <v>58953</v>
      </c>
      <c r="AC17">
        <v>275</v>
      </c>
      <c r="AD17">
        <v>1083</v>
      </c>
      <c r="AE17">
        <v>226960</v>
      </c>
      <c r="AF17">
        <v>0.06</v>
      </c>
      <c r="AG17">
        <v>606</v>
      </c>
      <c r="AH17">
        <v>2959</v>
      </c>
      <c r="AI17">
        <v>0.05</v>
      </c>
      <c r="AJ17">
        <v>711</v>
      </c>
      <c r="AK17">
        <v>3002</v>
      </c>
      <c r="AL17">
        <v>3</v>
      </c>
      <c r="AM17" t="s">
        <v>739</v>
      </c>
      <c r="AO17" s="1">
        <v>46108.123402777775</v>
      </c>
      <c r="AP17">
        <v>1</v>
      </c>
      <c r="AS17" s="1">
        <v>46107.990983796299</v>
      </c>
      <c r="AT17" s="1">
        <v>46108.097025462965</v>
      </c>
      <c r="AU17">
        <v>18</v>
      </c>
      <c r="AV17">
        <v>141</v>
      </c>
      <c r="AY17">
        <v>442597</v>
      </c>
      <c r="AZ17">
        <v>436791</v>
      </c>
      <c r="BA17">
        <v>1820</v>
      </c>
      <c r="BB17">
        <v>2917</v>
      </c>
      <c r="BC17">
        <v>2862</v>
      </c>
      <c r="BD17">
        <v>0</v>
      </c>
      <c r="BF17" t="s">
        <v>740</v>
      </c>
      <c r="BG17" s="1">
        <v>46108.097719907404</v>
      </c>
      <c r="BH17" s="1">
        <v>46108.100173611114</v>
      </c>
      <c r="BI17" s="1">
        <v>46108.14371527778</v>
      </c>
      <c r="BJ17" s="1">
        <v>46108.194594907407</v>
      </c>
      <c r="BK17">
        <v>1.1000000000000001</v>
      </c>
      <c r="BM17">
        <v>4118</v>
      </c>
      <c r="BS17" t="s">
        <v>613</v>
      </c>
      <c r="BT17" s="1">
        <v>46108.107812499999</v>
      </c>
      <c r="BU17" s="1">
        <v>46108.152951388889</v>
      </c>
      <c r="BV17" t="b">
        <v>0</v>
      </c>
      <c r="BX17">
        <v>2</v>
      </c>
      <c r="BY17" t="b">
        <v>0</v>
      </c>
      <c r="CD17">
        <v>0.9</v>
      </c>
      <c r="CF17" s="1">
        <v>46107.989837962959</v>
      </c>
      <c r="CG17" t="b">
        <v>0</v>
      </c>
      <c r="CH17" t="b">
        <v>0</v>
      </c>
      <c r="CI17" t="b">
        <v>0</v>
      </c>
      <c r="CJ17" t="b">
        <v>0</v>
      </c>
      <c r="CK17" t="b">
        <v>0</v>
      </c>
      <c r="CL17" t="b">
        <v>0</v>
      </c>
      <c r="CM17" t="b">
        <v>0</v>
      </c>
      <c r="CN17" t="b">
        <v>0</v>
      </c>
      <c r="CP17">
        <v>6</v>
      </c>
      <c r="CR17">
        <v>2</v>
      </c>
      <c r="CS17">
        <v>2805</v>
      </c>
      <c r="CT17">
        <v>2800</v>
      </c>
      <c r="CU17">
        <v>2794</v>
      </c>
      <c r="CZ17">
        <v>5.53</v>
      </c>
      <c r="DA17">
        <v>5.63</v>
      </c>
      <c r="DB17">
        <v>7.75</v>
      </c>
      <c r="DC17">
        <v>7.15</v>
      </c>
      <c r="DH17">
        <v>4438</v>
      </c>
      <c r="DI17">
        <v>4455</v>
      </c>
      <c r="DJ17">
        <v>415</v>
      </c>
      <c r="DK17">
        <v>415</v>
      </c>
      <c r="DP17">
        <v>4467</v>
      </c>
      <c r="DQ17">
        <v>4460</v>
      </c>
      <c r="DR17">
        <v>417</v>
      </c>
      <c r="DS17">
        <v>416</v>
      </c>
      <c r="DX17">
        <v>4454</v>
      </c>
      <c r="DY17">
        <v>4451</v>
      </c>
      <c r="DZ17">
        <v>418</v>
      </c>
      <c r="EA17">
        <v>416</v>
      </c>
      <c r="EB17" s="1">
        <v>46108.154641203706</v>
      </c>
      <c r="EG17" s="1">
        <v>46108.194594907407</v>
      </c>
      <c r="EJ17" s="1">
        <v>46110.916655092595</v>
      </c>
      <c r="EK17">
        <v>0.03</v>
      </c>
      <c r="EL17">
        <v>1087</v>
      </c>
      <c r="EM17">
        <v>3030</v>
      </c>
      <c r="EQ17">
        <v>8.6999999999999993</v>
      </c>
      <c r="ER17">
        <v>4</v>
      </c>
      <c r="ES17">
        <v>2917</v>
      </c>
      <c r="ET17">
        <v>0</v>
      </c>
      <c r="EU17">
        <v>0</v>
      </c>
      <c r="EV17">
        <v>2944</v>
      </c>
      <c r="EW17">
        <v>0</v>
      </c>
      <c r="EX17">
        <v>0</v>
      </c>
      <c r="EY17">
        <v>2896</v>
      </c>
      <c r="EZ17">
        <v>0</v>
      </c>
      <c r="FA17">
        <v>0</v>
      </c>
      <c r="FB17">
        <v>2876</v>
      </c>
      <c r="FC17">
        <v>7.9</v>
      </c>
      <c r="FJ17" t="s">
        <v>741</v>
      </c>
      <c r="FK17">
        <v>105</v>
      </c>
      <c r="FL17" s="1">
        <v>46108.375752314816</v>
      </c>
      <c r="FM17">
        <v>134</v>
      </c>
      <c r="FN17" t="s">
        <v>648</v>
      </c>
      <c r="FO17" t="s">
        <v>648</v>
      </c>
      <c r="FP17">
        <v>134</v>
      </c>
      <c r="FQ17" t="s">
        <v>648</v>
      </c>
      <c r="FR17" t="s">
        <v>649</v>
      </c>
      <c r="FS17" t="s">
        <v>650</v>
      </c>
      <c r="FT17" t="s">
        <v>580</v>
      </c>
      <c r="FV17" t="s">
        <v>573</v>
      </c>
      <c r="FW17" t="b">
        <v>0</v>
      </c>
      <c r="GA17" t="s">
        <v>742</v>
      </c>
      <c r="GB17">
        <v>18491</v>
      </c>
      <c r="GC17" s="1">
        <v>46108.107812499999</v>
      </c>
      <c r="GD17" t="s">
        <v>590</v>
      </c>
      <c r="GE17" t="s">
        <v>591</v>
      </c>
      <c r="GF17">
        <v>54</v>
      </c>
      <c r="GG17">
        <v>152</v>
      </c>
      <c r="GH17">
        <v>74</v>
      </c>
      <c r="GI17" t="s">
        <v>574</v>
      </c>
      <c r="GJ17">
        <v>218.4</v>
      </c>
      <c r="GL17">
        <v>61</v>
      </c>
      <c r="GN17" t="s">
        <v>652</v>
      </c>
      <c r="GP17">
        <v>61</v>
      </c>
      <c r="GR17" t="s">
        <v>652</v>
      </c>
      <c r="HI17" s="2">
        <v>46108</v>
      </c>
      <c r="HJ17" t="s">
        <v>593</v>
      </c>
      <c r="HK17" t="s">
        <v>576</v>
      </c>
      <c r="HM17">
        <v>2</v>
      </c>
      <c r="HN17">
        <v>1</v>
      </c>
      <c r="HV17">
        <v>1</v>
      </c>
      <c r="HW17" t="b">
        <v>0</v>
      </c>
      <c r="IB17">
        <v>2860</v>
      </c>
      <c r="IJ17">
        <v>2757</v>
      </c>
      <c r="IK17">
        <v>48</v>
      </c>
      <c r="IL17">
        <v>43</v>
      </c>
      <c r="IM17">
        <v>37</v>
      </c>
      <c r="IO17" t="s">
        <v>601</v>
      </c>
      <c r="IP17" t="s">
        <v>601</v>
      </c>
      <c r="IQ17" t="s">
        <v>566</v>
      </c>
      <c r="IR17">
        <v>6</v>
      </c>
      <c r="IT17" t="s">
        <v>653</v>
      </c>
      <c r="IV17">
        <v>28454</v>
      </c>
      <c r="IW17">
        <v>28338</v>
      </c>
      <c r="IX17">
        <v>28460</v>
      </c>
      <c r="IY17">
        <v>253.76386199999999</v>
      </c>
      <c r="IZ17">
        <v>0</v>
      </c>
      <c r="JA17">
        <v>1.1000000000000001</v>
      </c>
      <c r="JB17">
        <v>0</v>
      </c>
      <c r="JC17">
        <v>1.2688189999999999</v>
      </c>
      <c r="JD17">
        <v>255.032681</v>
      </c>
      <c r="JE17">
        <v>256.13268099999999</v>
      </c>
      <c r="JF17">
        <v>99.075100000000006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74.8</v>
      </c>
      <c r="JM17">
        <v>9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8</v>
      </c>
      <c r="JU17">
        <v>0</v>
      </c>
      <c r="JV17">
        <v>0</v>
      </c>
      <c r="JW17">
        <v>507527.72399999999</v>
      </c>
      <c r="JX17">
        <v>2640</v>
      </c>
      <c r="JY17">
        <v>74.8</v>
      </c>
      <c r="JZ17">
        <v>9.0625</v>
      </c>
      <c r="KA17">
        <v>0</v>
      </c>
      <c r="KB17">
        <v>253.76386199999999</v>
      </c>
      <c r="KC17">
        <v>1.2688189999999999</v>
      </c>
      <c r="KD17">
        <v>0</v>
      </c>
      <c r="KE17">
        <v>0</v>
      </c>
      <c r="KF17">
        <v>0</v>
      </c>
      <c r="KG17">
        <v>1.1000000000000001</v>
      </c>
      <c r="KH17">
        <v>0</v>
      </c>
      <c r="KI17">
        <v>0</v>
      </c>
      <c r="KJ17" t="s">
        <v>648</v>
      </c>
      <c r="KK17">
        <v>0.28360000000000002</v>
      </c>
      <c r="KL17">
        <v>28454</v>
      </c>
      <c r="KN17">
        <v>46389</v>
      </c>
      <c r="KO17">
        <v>134229</v>
      </c>
      <c r="KP17">
        <v>183705</v>
      </c>
      <c r="KX17">
        <v>29251</v>
      </c>
      <c r="LD17">
        <v>63822</v>
      </c>
      <c r="LV17">
        <v>53797</v>
      </c>
      <c r="MD17">
        <v>52298</v>
      </c>
      <c r="MQ17">
        <v>26599</v>
      </c>
      <c r="MR17">
        <v>83599</v>
      </c>
      <c r="MS17">
        <v>131947</v>
      </c>
      <c r="NG17">
        <v>30399</v>
      </c>
      <c r="NP17">
        <v>18999</v>
      </c>
      <c r="NY17">
        <v>37999</v>
      </c>
      <c r="OG17">
        <v>30399</v>
      </c>
      <c r="OT17">
        <v>3995</v>
      </c>
      <c r="PA17">
        <v>561</v>
      </c>
      <c r="PB17">
        <v>3913</v>
      </c>
      <c r="PC17">
        <v>288299</v>
      </c>
      <c r="PD17">
        <v>27385</v>
      </c>
      <c r="PE17">
        <v>7006</v>
      </c>
      <c r="PG17">
        <v>3</v>
      </c>
      <c r="PJ17">
        <v>11849</v>
      </c>
      <c r="PM17">
        <v>10951</v>
      </c>
      <c r="PN17">
        <v>1854</v>
      </c>
      <c r="PS17">
        <v>100</v>
      </c>
      <c r="PW17">
        <v>3589</v>
      </c>
      <c r="PX17">
        <v>856</v>
      </c>
      <c r="PY17">
        <v>1119</v>
      </c>
      <c r="QD17">
        <v>200</v>
      </c>
      <c r="QE17">
        <v>949</v>
      </c>
      <c r="QI17">
        <v>400</v>
      </c>
      <c r="QK17">
        <v>6</v>
      </c>
      <c r="QM17">
        <v>8</v>
      </c>
      <c r="QS17">
        <v>400</v>
      </c>
      <c r="SE17" s="1">
        <v>46086.322222222225</v>
      </c>
      <c r="SF17">
        <v>28454</v>
      </c>
      <c r="SG17">
        <v>408190</v>
      </c>
      <c r="SH17">
        <v>20</v>
      </c>
      <c r="SI17" t="s">
        <v>567</v>
      </c>
      <c r="SJ17">
        <v>50</v>
      </c>
      <c r="SK17" s="1">
        <v>46108.136053240742</v>
      </c>
      <c r="SZ17">
        <v>0.186</v>
      </c>
      <c r="TA17">
        <v>1.1080000000000001</v>
      </c>
      <c r="TB17">
        <v>1.0500000000000001E-2</v>
      </c>
      <c r="TC17" t="s">
        <v>568</v>
      </c>
      <c r="TD17">
        <v>0.17899999999999999</v>
      </c>
      <c r="TE17">
        <v>0.13700000000000001</v>
      </c>
      <c r="TF17">
        <v>6.2E-2</v>
      </c>
      <c r="TG17">
        <v>9.8000000000000004E-2</v>
      </c>
      <c r="TH17">
        <v>1.2999999999999999E-2</v>
      </c>
      <c r="TI17">
        <v>2.5999999999999999E-2</v>
      </c>
      <c r="TJ17">
        <v>7.0000000000000001E-3</v>
      </c>
      <c r="TK17">
        <v>2.2136800000000001</v>
      </c>
      <c r="TL17">
        <v>2E-3</v>
      </c>
      <c r="TM17" t="s">
        <v>568</v>
      </c>
      <c r="TN17">
        <v>3.3E-3</v>
      </c>
      <c r="TO17">
        <v>2.0999999999999999E-3</v>
      </c>
      <c r="TP17" t="s">
        <v>569</v>
      </c>
      <c r="TQ17">
        <v>1.17E-2</v>
      </c>
      <c r="TR17" t="s">
        <v>570</v>
      </c>
      <c r="TS17" t="s">
        <v>578</v>
      </c>
      <c r="TU17">
        <v>0.26040000000000002</v>
      </c>
      <c r="TV17">
        <v>7.1999999999999998E-3</v>
      </c>
      <c r="UD17">
        <v>0.4</v>
      </c>
      <c r="UE17">
        <v>0.43190000000000001</v>
      </c>
      <c r="UF17">
        <v>0.18</v>
      </c>
      <c r="UH17">
        <v>2.9999999999999997E-4</v>
      </c>
      <c r="UJ17">
        <v>0.3221</v>
      </c>
      <c r="UK17">
        <v>0.19</v>
      </c>
      <c r="UL17">
        <v>0.3</v>
      </c>
      <c r="UM17">
        <v>4.1000000000000003E-3</v>
      </c>
      <c r="UN17">
        <v>0.31</v>
      </c>
      <c r="UO17">
        <v>3.7315</v>
      </c>
      <c r="UP17">
        <v>1.4</v>
      </c>
      <c r="UQ17">
        <v>0.72</v>
      </c>
      <c r="UR17" s="1">
        <v>46086.322222222225</v>
      </c>
    </row>
    <row r="18" spans="1:564" x14ac:dyDescent="0.35">
      <c r="A18">
        <v>28455</v>
      </c>
      <c r="B18">
        <v>18492</v>
      </c>
      <c r="C18">
        <v>850</v>
      </c>
      <c r="D18">
        <v>26131</v>
      </c>
      <c r="G18" t="s">
        <v>645</v>
      </c>
      <c r="H18">
        <v>500000</v>
      </c>
      <c r="L18" t="s">
        <v>586</v>
      </c>
      <c r="M18">
        <v>74.8</v>
      </c>
      <c r="N18">
        <v>330</v>
      </c>
      <c r="O18" t="s">
        <v>596</v>
      </c>
      <c r="P18">
        <v>6</v>
      </c>
      <c r="S18" s="1">
        <v>46107.987083333333</v>
      </c>
      <c r="U18">
        <v>69</v>
      </c>
      <c r="W18">
        <v>39</v>
      </c>
      <c r="X18">
        <v>500268</v>
      </c>
      <c r="Y18" s="1">
        <v>46108.062881944446</v>
      </c>
      <c r="AB18">
        <v>95073</v>
      </c>
      <c r="AC18">
        <v>276</v>
      </c>
      <c r="AD18">
        <v>1084</v>
      </c>
      <c r="AE18">
        <v>110000</v>
      </c>
      <c r="AF18">
        <v>7.0000000000000007E-2</v>
      </c>
      <c r="AG18">
        <v>496</v>
      </c>
      <c r="AH18">
        <v>2908</v>
      </c>
      <c r="AI18">
        <v>0.05</v>
      </c>
      <c r="AJ18">
        <v>812</v>
      </c>
      <c r="AK18">
        <v>3014</v>
      </c>
      <c r="AL18">
        <v>29</v>
      </c>
      <c r="AM18" t="s">
        <v>743</v>
      </c>
      <c r="AO18" s="1">
        <v>46108.123217592591</v>
      </c>
      <c r="AP18">
        <v>2</v>
      </c>
      <c r="AS18" s="1">
        <v>46108.063668981478</v>
      </c>
      <c r="AT18" s="1">
        <v>46108.140567129631</v>
      </c>
      <c r="AU18">
        <v>13</v>
      </c>
      <c r="AV18">
        <v>97</v>
      </c>
      <c r="AY18">
        <v>507796</v>
      </c>
      <c r="AZ18">
        <v>500268</v>
      </c>
      <c r="BA18">
        <v>1270</v>
      </c>
      <c r="BB18">
        <v>2973</v>
      </c>
      <c r="BC18">
        <v>2872</v>
      </c>
      <c r="BD18">
        <v>0</v>
      </c>
      <c r="BG18" s="1">
        <v>46108.140787037039</v>
      </c>
      <c r="BH18" s="1">
        <v>46108.149189814816</v>
      </c>
      <c r="BI18" s="1">
        <v>46108.194641203707</v>
      </c>
      <c r="BJ18" s="1">
        <v>46108.242511574077</v>
      </c>
      <c r="BK18">
        <v>1.1000000000000001</v>
      </c>
      <c r="BM18">
        <v>4118</v>
      </c>
      <c r="BT18" s="1">
        <v>46108.154745370368</v>
      </c>
      <c r="BU18" s="1">
        <v>46108.204050925924</v>
      </c>
      <c r="BV18" t="b">
        <v>0</v>
      </c>
      <c r="BX18">
        <v>2</v>
      </c>
      <c r="BY18" t="b">
        <v>0</v>
      </c>
      <c r="CD18">
        <v>0.9</v>
      </c>
      <c r="CF18" s="1">
        <v>46107.990162037036</v>
      </c>
      <c r="CG18" t="b">
        <v>0</v>
      </c>
      <c r="CH18" t="b">
        <v>0</v>
      </c>
      <c r="CI18" t="b">
        <v>0</v>
      </c>
      <c r="CJ18" t="b">
        <v>0</v>
      </c>
      <c r="CK18" t="b">
        <v>0</v>
      </c>
      <c r="CL18" t="b">
        <v>0</v>
      </c>
      <c r="CM18" t="b">
        <v>0</v>
      </c>
      <c r="CN18" t="b">
        <v>0</v>
      </c>
      <c r="CP18">
        <v>6</v>
      </c>
      <c r="CR18">
        <v>2</v>
      </c>
      <c r="CS18">
        <v>2801</v>
      </c>
      <c r="CT18">
        <v>2802</v>
      </c>
      <c r="CU18">
        <v>2805</v>
      </c>
      <c r="CZ18">
        <v>5.54</v>
      </c>
      <c r="DA18">
        <v>5.76</v>
      </c>
      <c r="DB18">
        <v>8.1199999999999992</v>
      </c>
      <c r="DC18">
        <v>7.52</v>
      </c>
      <c r="DH18">
        <v>4444</v>
      </c>
      <c r="DI18">
        <v>4445</v>
      </c>
      <c r="DJ18">
        <v>416</v>
      </c>
      <c r="DK18">
        <v>416</v>
      </c>
      <c r="DP18">
        <v>4451</v>
      </c>
      <c r="DQ18">
        <v>4462</v>
      </c>
      <c r="DR18">
        <v>417</v>
      </c>
      <c r="DS18">
        <v>416</v>
      </c>
      <c r="DX18">
        <v>4461</v>
      </c>
      <c r="DY18">
        <v>4444</v>
      </c>
      <c r="DZ18">
        <v>417</v>
      </c>
      <c r="EA18">
        <v>415</v>
      </c>
      <c r="EB18" s="1">
        <v>46108.20416666667</v>
      </c>
      <c r="EG18" s="1">
        <v>46108.242511574077</v>
      </c>
      <c r="EJ18" s="1">
        <v>46108.378796296296</v>
      </c>
      <c r="EQ18">
        <v>11.91</v>
      </c>
      <c r="ER18">
        <v>3</v>
      </c>
      <c r="ES18">
        <v>2973</v>
      </c>
      <c r="ET18">
        <v>0</v>
      </c>
      <c r="EU18">
        <v>0</v>
      </c>
      <c r="EV18">
        <v>2919</v>
      </c>
      <c r="EW18">
        <v>0</v>
      </c>
      <c r="EX18">
        <v>0</v>
      </c>
      <c r="EY18">
        <v>2876</v>
      </c>
      <c r="EZ18">
        <v>0</v>
      </c>
      <c r="FA18">
        <v>0</v>
      </c>
      <c r="FB18">
        <v>2879</v>
      </c>
      <c r="FC18">
        <v>7.2</v>
      </c>
      <c r="FJ18" t="s">
        <v>744</v>
      </c>
      <c r="FK18">
        <v>114</v>
      </c>
      <c r="FL18" s="1">
        <v>46108.378611111111</v>
      </c>
      <c r="FM18">
        <v>134</v>
      </c>
      <c r="FN18" t="s">
        <v>648</v>
      </c>
      <c r="FO18" t="s">
        <v>648</v>
      </c>
      <c r="FP18">
        <v>134</v>
      </c>
      <c r="FQ18" t="s">
        <v>648</v>
      </c>
      <c r="FR18" t="s">
        <v>649</v>
      </c>
      <c r="FS18" t="s">
        <v>650</v>
      </c>
      <c r="FT18" t="s">
        <v>638</v>
      </c>
      <c r="FV18" t="s">
        <v>573</v>
      </c>
      <c r="FW18" t="b">
        <v>0</v>
      </c>
      <c r="GA18" t="s">
        <v>745</v>
      </c>
      <c r="GB18">
        <v>18492</v>
      </c>
      <c r="GC18" s="1">
        <v>46108.154745370368</v>
      </c>
      <c r="GD18" t="s">
        <v>590</v>
      </c>
      <c r="GE18" t="s">
        <v>591</v>
      </c>
      <c r="GF18">
        <v>109</v>
      </c>
      <c r="GG18">
        <v>111</v>
      </c>
      <c r="GH18">
        <v>69</v>
      </c>
      <c r="GI18" t="s">
        <v>565</v>
      </c>
      <c r="GJ18">
        <v>250.13</v>
      </c>
      <c r="GL18">
        <v>61</v>
      </c>
      <c r="GN18" t="s">
        <v>652</v>
      </c>
      <c r="GP18">
        <v>61</v>
      </c>
      <c r="GR18" t="s">
        <v>652</v>
      </c>
      <c r="HI18" s="2">
        <v>46108</v>
      </c>
      <c r="HJ18" t="s">
        <v>593</v>
      </c>
      <c r="HK18" t="s">
        <v>576</v>
      </c>
      <c r="HM18">
        <v>3</v>
      </c>
      <c r="HN18">
        <v>1</v>
      </c>
      <c r="HV18">
        <v>1</v>
      </c>
      <c r="HW18" t="b">
        <v>0</v>
      </c>
      <c r="IB18">
        <v>2860</v>
      </c>
      <c r="IJ18">
        <v>2757</v>
      </c>
      <c r="IK18">
        <v>44</v>
      </c>
      <c r="IL18">
        <v>45</v>
      </c>
      <c r="IM18">
        <v>48</v>
      </c>
      <c r="IO18" t="s">
        <v>601</v>
      </c>
      <c r="IP18" t="s">
        <v>601</v>
      </c>
      <c r="IQ18" t="s">
        <v>566</v>
      </c>
      <c r="IR18">
        <v>8</v>
      </c>
      <c r="IT18" t="s">
        <v>653</v>
      </c>
      <c r="IV18">
        <v>28455</v>
      </c>
      <c r="IW18">
        <v>28338</v>
      </c>
      <c r="IX18">
        <v>28460</v>
      </c>
      <c r="IY18">
        <v>253.76386199999999</v>
      </c>
      <c r="IZ18">
        <v>0</v>
      </c>
      <c r="JA18">
        <v>1.1000000000000001</v>
      </c>
      <c r="JB18">
        <v>0</v>
      </c>
      <c r="JC18">
        <v>1.2688189999999999</v>
      </c>
      <c r="JD18">
        <v>255.032681</v>
      </c>
      <c r="JE18">
        <v>256.13268099999999</v>
      </c>
      <c r="JF18">
        <v>99.075100000000006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74.8</v>
      </c>
      <c r="JM18">
        <v>9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8</v>
      </c>
      <c r="JU18">
        <v>0</v>
      </c>
      <c r="JV18">
        <v>0</v>
      </c>
      <c r="JW18">
        <v>507527.72399999999</v>
      </c>
      <c r="JX18">
        <v>2640</v>
      </c>
      <c r="JY18">
        <v>74.8</v>
      </c>
      <c r="JZ18">
        <v>9.0625</v>
      </c>
      <c r="KA18">
        <v>0</v>
      </c>
      <c r="KB18">
        <v>253.76386199999999</v>
      </c>
      <c r="KC18">
        <v>1.2688189999999999</v>
      </c>
      <c r="KD18">
        <v>0</v>
      </c>
      <c r="KE18">
        <v>0</v>
      </c>
      <c r="KF18">
        <v>0</v>
      </c>
      <c r="KG18">
        <v>1.1000000000000001</v>
      </c>
      <c r="KH18">
        <v>0</v>
      </c>
      <c r="KI18">
        <v>0</v>
      </c>
      <c r="KJ18" t="s">
        <v>648</v>
      </c>
      <c r="KK18">
        <v>0.28360000000000002</v>
      </c>
      <c r="KL18">
        <v>28455</v>
      </c>
      <c r="KN18">
        <v>44160</v>
      </c>
      <c r="KO18">
        <v>131920</v>
      </c>
      <c r="KP18">
        <v>208540</v>
      </c>
      <c r="KX18">
        <v>30560</v>
      </c>
      <c r="LD18">
        <v>45800</v>
      </c>
      <c r="LV18">
        <v>64540</v>
      </c>
      <c r="MD18">
        <v>78440</v>
      </c>
      <c r="MQ18">
        <v>41999</v>
      </c>
      <c r="MR18">
        <v>131998</v>
      </c>
      <c r="MS18">
        <v>221885</v>
      </c>
      <c r="NG18">
        <v>47999</v>
      </c>
      <c r="NP18">
        <v>29999</v>
      </c>
      <c r="NY18">
        <v>59999</v>
      </c>
      <c r="OG18">
        <v>47999</v>
      </c>
      <c r="PA18">
        <v>612</v>
      </c>
      <c r="PB18">
        <v>2826</v>
      </c>
      <c r="PC18">
        <v>425220</v>
      </c>
      <c r="PD18">
        <v>39555</v>
      </c>
      <c r="PE18">
        <v>9630</v>
      </c>
      <c r="PG18">
        <v>2</v>
      </c>
      <c r="PJ18">
        <v>18724</v>
      </c>
      <c r="PM18">
        <v>15710</v>
      </c>
      <c r="PR18">
        <v>100</v>
      </c>
      <c r="PV18">
        <v>662</v>
      </c>
      <c r="PW18">
        <v>3530</v>
      </c>
      <c r="PX18">
        <v>759</v>
      </c>
      <c r="PY18">
        <v>2600</v>
      </c>
      <c r="QD18">
        <v>300</v>
      </c>
      <c r="QE18">
        <v>949</v>
      </c>
      <c r="QK18">
        <v>6</v>
      </c>
      <c r="QM18">
        <v>10</v>
      </c>
      <c r="QS18">
        <v>650</v>
      </c>
      <c r="QW18">
        <v>135</v>
      </c>
      <c r="QY18">
        <v>500</v>
      </c>
      <c r="SE18" s="1">
        <v>46086.322222222225</v>
      </c>
      <c r="SF18">
        <v>28455</v>
      </c>
      <c r="SG18">
        <v>408214</v>
      </c>
      <c r="SH18">
        <v>20</v>
      </c>
      <c r="SI18" t="s">
        <v>567</v>
      </c>
      <c r="SJ18">
        <v>50</v>
      </c>
      <c r="SK18" s="1">
        <v>46108.197592592594</v>
      </c>
      <c r="SZ18">
        <v>0.18099999999999999</v>
      </c>
      <c r="TA18">
        <v>1.103</v>
      </c>
      <c r="TB18">
        <v>1.0200000000000001E-2</v>
      </c>
      <c r="TC18">
        <v>2.3E-3</v>
      </c>
      <c r="TD18">
        <v>0.185</v>
      </c>
      <c r="TE18">
        <v>0.14599999999999999</v>
      </c>
      <c r="TF18">
        <v>6.8000000000000005E-2</v>
      </c>
      <c r="TG18">
        <v>9.9000000000000005E-2</v>
      </c>
      <c r="TH18">
        <v>1.4E-2</v>
      </c>
      <c r="TI18">
        <v>3.3000000000000002E-2</v>
      </c>
      <c r="TJ18">
        <v>8.0000000000000002E-3</v>
      </c>
      <c r="TK18">
        <v>4.1772200000000002</v>
      </c>
      <c r="TL18">
        <v>3.0000000000000001E-3</v>
      </c>
      <c r="TM18" t="s">
        <v>568</v>
      </c>
      <c r="TN18">
        <v>2.7000000000000001E-3</v>
      </c>
      <c r="TO18">
        <v>2.2000000000000001E-3</v>
      </c>
      <c r="TP18" t="s">
        <v>569</v>
      </c>
      <c r="TQ18">
        <v>7.9000000000000008E-3</v>
      </c>
      <c r="TR18" t="s">
        <v>570</v>
      </c>
      <c r="TS18" t="s">
        <v>578</v>
      </c>
      <c r="TU18">
        <v>0.25559999999999999</v>
      </c>
      <c r="TV18">
        <v>7.7000000000000002E-3</v>
      </c>
      <c r="UD18">
        <v>0.4</v>
      </c>
      <c r="UE18">
        <v>0.42880000000000001</v>
      </c>
      <c r="UF18">
        <v>0.28000000000000003</v>
      </c>
      <c r="UH18">
        <v>2.5999999999999998E-4</v>
      </c>
      <c r="UJ18">
        <v>0.33950000000000002</v>
      </c>
      <c r="UK18">
        <v>0.21</v>
      </c>
      <c r="UL18">
        <v>0.31</v>
      </c>
      <c r="UM18">
        <v>5.4000000000000003E-3</v>
      </c>
      <c r="UN18">
        <v>0.32700000000000001</v>
      </c>
      <c r="UO18">
        <v>3.8894000000000002</v>
      </c>
      <c r="UP18">
        <v>1.47</v>
      </c>
      <c r="UQ18">
        <v>0.68</v>
      </c>
      <c r="UR18" s="1">
        <v>46086.322222222225</v>
      </c>
    </row>
    <row r="19" spans="1:564" x14ac:dyDescent="0.35">
      <c r="A19">
        <v>28456</v>
      </c>
      <c r="B19">
        <v>18493</v>
      </c>
      <c r="C19">
        <v>850</v>
      </c>
      <c r="D19">
        <v>26131</v>
      </c>
      <c r="G19" t="s">
        <v>645</v>
      </c>
      <c r="H19">
        <v>500000</v>
      </c>
      <c r="L19" t="s">
        <v>586</v>
      </c>
      <c r="M19">
        <v>74.8</v>
      </c>
      <c r="N19">
        <v>330</v>
      </c>
      <c r="O19" t="s">
        <v>596</v>
      </c>
      <c r="P19">
        <v>7</v>
      </c>
      <c r="S19" s="1">
        <v>46108.062881944446</v>
      </c>
      <c r="U19">
        <v>64</v>
      </c>
      <c r="W19">
        <v>8</v>
      </c>
      <c r="X19">
        <v>466703</v>
      </c>
      <c r="Y19" s="1">
        <v>46108.113553240742</v>
      </c>
      <c r="AB19">
        <v>87328</v>
      </c>
      <c r="AC19">
        <v>277</v>
      </c>
      <c r="AD19">
        <v>1085</v>
      </c>
      <c r="AE19">
        <v>157560</v>
      </c>
      <c r="AF19">
        <v>0.08</v>
      </c>
      <c r="AG19">
        <v>452</v>
      </c>
      <c r="AH19">
        <v>2921</v>
      </c>
      <c r="AI19">
        <v>7.0000000000000007E-2</v>
      </c>
      <c r="AJ19">
        <v>515</v>
      </c>
      <c r="AK19">
        <v>2966</v>
      </c>
      <c r="AO19" s="1">
        <v>46108.123298611114</v>
      </c>
      <c r="AP19">
        <v>1</v>
      </c>
      <c r="AS19" s="1">
        <v>46108.118067129632</v>
      </c>
      <c r="AT19" s="1">
        <v>46108.189016203702</v>
      </c>
      <c r="AU19">
        <v>21</v>
      </c>
      <c r="AV19">
        <v>91</v>
      </c>
      <c r="AY19">
        <v>472918</v>
      </c>
      <c r="AZ19">
        <v>466703</v>
      </c>
      <c r="BA19">
        <v>2000</v>
      </c>
      <c r="BB19">
        <v>2867</v>
      </c>
      <c r="BC19">
        <v>2868</v>
      </c>
      <c r="BF19" t="s">
        <v>755</v>
      </c>
      <c r="BG19" s="1">
        <v>46108.189432870371</v>
      </c>
      <c r="BH19" s="1">
        <v>46108.19734953704</v>
      </c>
      <c r="BI19" s="1">
        <v>46108.242523148147</v>
      </c>
      <c r="BJ19" s="1">
        <v>46108.294490740744</v>
      </c>
      <c r="BK19">
        <v>1.1000000000000001</v>
      </c>
      <c r="BM19">
        <v>4118</v>
      </c>
      <c r="BS19" t="s">
        <v>756</v>
      </c>
      <c r="BT19" s="1">
        <v>46108.204988425925</v>
      </c>
      <c r="BU19" s="1">
        <v>46108.254988425928</v>
      </c>
      <c r="BV19" t="b">
        <v>0</v>
      </c>
      <c r="BX19">
        <v>2</v>
      </c>
      <c r="BY19" t="b">
        <v>0</v>
      </c>
      <c r="CD19">
        <v>0.9</v>
      </c>
      <c r="CF19" s="1">
        <v>46107.990162037036</v>
      </c>
      <c r="CG19" t="b">
        <v>0</v>
      </c>
      <c r="CH19" t="b">
        <v>0</v>
      </c>
      <c r="CI19" t="b">
        <v>0</v>
      </c>
      <c r="CJ19" t="b">
        <v>0</v>
      </c>
      <c r="CK19" t="b">
        <v>0</v>
      </c>
      <c r="CL19" t="b">
        <v>0</v>
      </c>
      <c r="CM19" t="b">
        <v>0</v>
      </c>
      <c r="CN19" t="b">
        <v>0</v>
      </c>
      <c r="CP19">
        <v>6</v>
      </c>
      <c r="CR19">
        <v>2</v>
      </c>
      <c r="CS19">
        <v>2807</v>
      </c>
      <c r="CT19">
        <v>2800</v>
      </c>
      <c r="CU19">
        <v>2801</v>
      </c>
      <c r="CZ19">
        <v>5.46</v>
      </c>
      <c r="DA19">
        <v>5.59</v>
      </c>
      <c r="DB19">
        <v>8.3000000000000007</v>
      </c>
      <c r="DC19">
        <v>7.73</v>
      </c>
      <c r="DH19">
        <v>4456</v>
      </c>
      <c r="DI19">
        <v>4450</v>
      </c>
      <c r="DJ19">
        <v>418</v>
      </c>
      <c r="DK19">
        <v>415</v>
      </c>
      <c r="DP19">
        <v>4454</v>
      </c>
      <c r="DQ19">
        <v>4449</v>
      </c>
      <c r="DR19">
        <v>415</v>
      </c>
      <c r="DS19">
        <v>416</v>
      </c>
      <c r="DX19">
        <v>4443</v>
      </c>
      <c r="DY19">
        <v>4446</v>
      </c>
      <c r="DZ19">
        <v>415</v>
      </c>
      <c r="EA19">
        <v>416</v>
      </c>
      <c r="EB19" s="1">
        <v>46108.255185185182</v>
      </c>
      <c r="EG19" s="1">
        <v>46108.294490740744</v>
      </c>
      <c r="EJ19" s="1">
        <v>46108.379918981482</v>
      </c>
      <c r="EK19">
        <v>0.05</v>
      </c>
      <c r="EL19">
        <v>808</v>
      </c>
      <c r="EM19">
        <v>3020</v>
      </c>
      <c r="EQ19">
        <v>16.98</v>
      </c>
      <c r="ER19">
        <v>2</v>
      </c>
      <c r="ES19">
        <v>2867</v>
      </c>
      <c r="ET19">
        <v>0</v>
      </c>
      <c r="EU19">
        <v>0</v>
      </c>
      <c r="EV19">
        <v>2928</v>
      </c>
      <c r="EW19">
        <v>0</v>
      </c>
      <c r="EX19">
        <v>0</v>
      </c>
      <c r="EY19">
        <v>2922</v>
      </c>
      <c r="EZ19">
        <v>0</v>
      </c>
      <c r="FA19">
        <v>0</v>
      </c>
      <c r="FB19">
        <v>2905</v>
      </c>
      <c r="FC19">
        <v>6.9</v>
      </c>
      <c r="FJ19" t="s">
        <v>757</v>
      </c>
      <c r="FK19">
        <v>114</v>
      </c>
      <c r="FL19" s="1">
        <v>46108.379733796297</v>
      </c>
      <c r="FM19">
        <v>134</v>
      </c>
      <c r="FN19" t="s">
        <v>648</v>
      </c>
      <c r="FO19" t="s">
        <v>648</v>
      </c>
      <c r="FP19">
        <v>134</v>
      </c>
      <c r="FQ19" t="s">
        <v>648</v>
      </c>
      <c r="FR19" t="s">
        <v>649</v>
      </c>
      <c r="FS19" t="s">
        <v>650</v>
      </c>
      <c r="FT19" t="s">
        <v>572</v>
      </c>
      <c r="FV19" t="s">
        <v>573</v>
      </c>
      <c r="FW19" t="b">
        <v>0</v>
      </c>
      <c r="GA19" t="s">
        <v>758</v>
      </c>
      <c r="GB19">
        <v>18493</v>
      </c>
      <c r="GC19" s="1">
        <v>46108.204988425925</v>
      </c>
      <c r="GD19" t="s">
        <v>590</v>
      </c>
      <c r="GE19" t="s">
        <v>591</v>
      </c>
      <c r="GF19">
        <v>73</v>
      </c>
      <c r="GG19">
        <v>102</v>
      </c>
      <c r="GH19">
        <v>75</v>
      </c>
      <c r="GI19" t="s">
        <v>574</v>
      </c>
      <c r="GJ19">
        <v>233.35</v>
      </c>
      <c r="GL19">
        <v>61</v>
      </c>
      <c r="GN19" t="s">
        <v>652</v>
      </c>
      <c r="GP19">
        <v>61</v>
      </c>
      <c r="GR19" t="s">
        <v>652</v>
      </c>
      <c r="HI19" s="2">
        <v>46108</v>
      </c>
      <c r="HJ19" t="s">
        <v>759</v>
      </c>
      <c r="HK19" t="s">
        <v>537</v>
      </c>
      <c r="HM19">
        <v>4</v>
      </c>
      <c r="HN19">
        <v>1</v>
      </c>
      <c r="HV19">
        <v>1</v>
      </c>
      <c r="HW19" t="b">
        <v>0</v>
      </c>
      <c r="IB19">
        <v>2860</v>
      </c>
      <c r="IJ19">
        <v>2757</v>
      </c>
      <c r="IK19">
        <v>50</v>
      </c>
      <c r="IL19">
        <v>43</v>
      </c>
      <c r="IM19">
        <v>44</v>
      </c>
      <c r="IO19" t="s">
        <v>601</v>
      </c>
      <c r="IP19" t="s">
        <v>601</v>
      </c>
      <c r="IQ19" t="s">
        <v>566</v>
      </c>
      <c r="IR19">
        <v>3</v>
      </c>
      <c r="IT19" t="s">
        <v>653</v>
      </c>
      <c r="IV19">
        <v>28456</v>
      </c>
      <c r="IW19">
        <v>28338</v>
      </c>
      <c r="IX19">
        <v>28460</v>
      </c>
      <c r="IY19">
        <v>253.76386199999999</v>
      </c>
      <c r="IZ19">
        <v>0</v>
      </c>
      <c r="JA19">
        <v>1.1000000000000001</v>
      </c>
      <c r="JB19">
        <v>0</v>
      </c>
      <c r="JC19">
        <v>1.2688189999999999</v>
      </c>
      <c r="JD19">
        <v>255.032681</v>
      </c>
      <c r="JE19">
        <v>256.13268099999999</v>
      </c>
      <c r="JF19">
        <v>99.075100000000006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74.8</v>
      </c>
      <c r="JM19">
        <v>9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8</v>
      </c>
      <c r="JU19">
        <v>0</v>
      </c>
      <c r="JV19">
        <v>0</v>
      </c>
      <c r="JW19">
        <v>507527.72399999999</v>
      </c>
      <c r="JX19">
        <v>2640</v>
      </c>
      <c r="JY19">
        <v>74.8</v>
      </c>
      <c r="JZ19">
        <v>9.0625</v>
      </c>
      <c r="KA19">
        <v>0</v>
      </c>
      <c r="KB19">
        <v>253.76386199999999</v>
      </c>
      <c r="KC19">
        <v>1.2688189999999999</v>
      </c>
      <c r="KD19">
        <v>0</v>
      </c>
      <c r="KE19">
        <v>0</v>
      </c>
      <c r="KF19">
        <v>0</v>
      </c>
      <c r="KG19">
        <v>1.1000000000000001</v>
      </c>
      <c r="KH19">
        <v>0</v>
      </c>
      <c r="KI19">
        <v>0</v>
      </c>
      <c r="KJ19" t="s">
        <v>648</v>
      </c>
      <c r="KK19">
        <v>0.28360000000000002</v>
      </c>
      <c r="KL19">
        <v>28456</v>
      </c>
      <c r="KN19">
        <v>43020</v>
      </c>
      <c r="KO19">
        <v>122100</v>
      </c>
      <c r="KP19">
        <v>204400</v>
      </c>
      <c r="KX19">
        <v>26020</v>
      </c>
      <c r="LD19">
        <v>50380</v>
      </c>
      <c r="LV19">
        <v>42080</v>
      </c>
      <c r="MD19">
        <v>49020</v>
      </c>
      <c r="MQ19">
        <v>38586</v>
      </c>
      <c r="MR19">
        <v>121272</v>
      </c>
      <c r="MS19">
        <v>169569</v>
      </c>
      <c r="NG19">
        <v>44099</v>
      </c>
      <c r="NP19">
        <v>27561</v>
      </c>
      <c r="NY19">
        <v>55123</v>
      </c>
      <c r="OG19">
        <v>44099</v>
      </c>
      <c r="OT19">
        <v>7794</v>
      </c>
      <c r="PA19">
        <v>555</v>
      </c>
      <c r="PB19">
        <v>5232</v>
      </c>
      <c r="PC19">
        <v>357601</v>
      </c>
      <c r="PD19">
        <v>36725</v>
      </c>
      <c r="PE19">
        <v>9488</v>
      </c>
      <c r="PG19">
        <v>3</v>
      </c>
      <c r="PJ19">
        <v>16120</v>
      </c>
      <c r="PM19">
        <v>15415</v>
      </c>
      <c r="PN19">
        <v>3227</v>
      </c>
      <c r="PR19">
        <v>100</v>
      </c>
      <c r="PV19">
        <v>2892</v>
      </c>
      <c r="PW19">
        <v>3864</v>
      </c>
      <c r="PX19">
        <v>806</v>
      </c>
      <c r="PY19">
        <v>1503</v>
      </c>
      <c r="QD19">
        <v>200</v>
      </c>
      <c r="QE19">
        <v>849</v>
      </c>
      <c r="QK19">
        <v>7</v>
      </c>
      <c r="QM19">
        <v>7</v>
      </c>
      <c r="QS19">
        <v>397</v>
      </c>
      <c r="SE19" s="1">
        <v>46086.322222222225</v>
      </c>
      <c r="SF19">
        <v>28456</v>
      </c>
      <c r="SG19">
        <v>408233</v>
      </c>
      <c r="SH19">
        <v>20</v>
      </c>
      <c r="SI19" t="s">
        <v>567</v>
      </c>
      <c r="SJ19">
        <v>50</v>
      </c>
      <c r="SK19" s="1">
        <v>46108.247291666667</v>
      </c>
      <c r="SZ19">
        <v>0.182</v>
      </c>
      <c r="TA19">
        <v>1.119</v>
      </c>
      <c r="TB19">
        <v>0.01</v>
      </c>
      <c r="TC19">
        <v>4.3E-3</v>
      </c>
      <c r="TD19">
        <v>0.16700000000000001</v>
      </c>
      <c r="TE19">
        <v>0.155</v>
      </c>
      <c r="TF19">
        <v>6.9000000000000006E-2</v>
      </c>
      <c r="TG19">
        <v>0.10199999999999999</v>
      </c>
      <c r="TH19">
        <v>1.2E-2</v>
      </c>
      <c r="TI19">
        <v>3.6999999999999998E-2</v>
      </c>
      <c r="TJ19">
        <v>8.0000000000000002E-3</v>
      </c>
      <c r="TK19">
        <v>4.0217400000000003</v>
      </c>
      <c r="TL19">
        <v>3.0000000000000001E-3</v>
      </c>
      <c r="TM19" t="s">
        <v>568</v>
      </c>
      <c r="TN19">
        <v>1.9E-3</v>
      </c>
      <c r="TO19">
        <v>2E-3</v>
      </c>
      <c r="TP19" t="s">
        <v>569</v>
      </c>
      <c r="TQ19">
        <v>9.1999999999999998E-3</v>
      </c>
      <c r="TR19" t="s">
        <v>570</v>
      </c>
      <c r="TS19" t="s">
        <v>578</v>
      </c>
      <c r="TU19">
        <v>0.25750000000000001</v>
      </c>
      <c r="TV19">
        <v>6.7000000000000002E-3</v>
      </c>
      <c r="UD19">
        <v>0.4</v>
      </c>
      <c r="UE19">
        <v>0.43020000000000003</v>
      </c>
      <c r="UF19">
        <v>0.22</v>
      </c>
      <c r="UH19">
        <v>3.4000000000000002E-4</v>
      </c>
      <c r="UJ19">
        <v>0.34960000000000002</v>
      </c>
      <c r="UK19">
        <v>0.22</v>
      </c>
      <c r="UL19">
        <v>0.33</v>
      </c>
      <c r="UM19">
        <v>5.4000000000000003E-3</v>
      </c>
      <c r="UN19">
        <v>0.33800000000000002</v>
      </c>
      <c r="UO19">
        <v>4.0046999999999997</v>
      </c>
      <c r="UP19">
        <v>1.52</v>
      </c>
      <c r="UQ19">
        <v>0.66</v>
      </c>
      <c r="UR19" s="1">
        <v>46086.322222222225</v>
      </c>
    </row>
    <row r="20" spans="1:564" x14ac:dyDescent="0.35">
      <c r="A20">
        <v>28457</v>
      </c>
      <c r="B20">
        <v>18494</v>
      </c>
      <c r="C20">
        <v>850</v>
      </c>
      <c r="D20">
        <v>26131</v>
      </c>
      <c r="G20" t="s">
        <v>645</v>
      </c>
      <c r="H20">
        <v>500000</v>
      </c>
      <c r="L20" t="s">
        <v>586</v>
      </c>
      <c r="M20">
        <v>74.8</v>
      </c>
      <c r="N20">
        <v>330</v>
      </c>
      <c r="O20" t="s">
        <v>596</v>
      </c>
      <c r="P20">
        <v>8</v>
      </c>
      <c r="S20" s="1">
        <v>46108.113553240742</v>
      </c>
      <c r="U20">
        <v>73</v>
      </c>
      <c r="W20">
        <v>18</v>
      </c>
      <c r="X20">
        <v>495910</v>
      </c>
      <c r="Y20" s="1">
        <v>46108.177557870367</v>
      </c>
      <c r="AB20">
        <v>95142</v>
      </c>
      <c r="AC20">
        <v>278</v>
      </c>
      <c r="AD20">
        <v>1086</v>
      </c>
      <c r="AE20">
        <v>160979</v>
      </c>
      <c r="AF20">
        <v>0.3</v>
      </c>
      <c r="AG20">
        <v>111</v>
      </c>
      <c r="AH20">
        <v>2820</v>
      </c>
      <c r="AI20">
        <v>0.18</v>
      </c>
      <c r="AJ20">
        <v>189</v>
      </c>
      <c r="AK20">
        <v>2892</v>
      </c>
      <c r="AL20">
        <v>8</v>
      </c>
      <c r="AM20" t="s">
        <v>763</v>
      </c>
      <c r="AO20" s="1">
        <v>46108.182337962964</v>
      </c>
      <c r="AP20">
        <v>2</v>
      </c>
      <c r="AS20" s="1">
        <v>46108.181828703702</v>
      </c>
      <c r="AT20" s="1">
        <v>46108.241018518522</v>
      </c>
      <c r="AU20">
        <v>12</v>
      </c>
      <c r="AV20">
        <v>76</v>
      </c>
      <c r="AY20">
        <v>494791</v>
      </c>
      <c r="AZ20">
        <v>487148</v>
      </c>
      <c r="BA20">
        <v>1200</v>
      </c>
      <c r="BB20">
        <v>2953</v>
      </c>
      <c r="BC20">
        <v>2863</v>
      </c>
      <c r="BD20">
        <v>0</v>
      </c>
      <c r="BG20" s="1">
        <v>46108.241886574076</v>
      </c>
      <c r="BH20" s="1">
        <v>46108.25</v>
      </c>
      <c r="BI20" s="1">
        <v>46108.340520833335</v>
      </c>
      <c r="BJ20" s="1">
        <v>46108.346435185187</v>
      </c>
      <c r="BK20">
        <v>1.1000000000000001</v>
      </c>
      <c r="BM20">
        <v>4118</v>
      </c>
      <c r="BT20" s="1">
        <v>46108.256249999999</v>
      </c>
      <c r="BU20" s="1">
        <v>46108.307638888888</v>
      </c>
      <c r="BV20" t="b">
        <v>0</v>
      </c>
      <c r="BX20">
        <v>2</v>
      </c>
      <c r="BY20" t="b">
        <v>0</v>
      </c>
      <c r="CD20">
        <v>0.9</v>
      </c>
      <c r="CF20" s="1">
        <v>46107.989710648151</v>
      </c>
      <c r="CG20" t="b">
        <v>0</v>
      </c>
      <c r="CH20" t="b">
        <v>0</v>
      </c>
      <c r="CI20" t="b">
        <v>0</v>
      </c>
      <c r="CJ20" t="b">
        <v>0</v>
      </c>
      <c r="CK20" t="b">
        <v>0</v>
      </c>
      <c r="CL20" t="b">
        <v>0</v>
      </c>
      <c r="CM20" t="b">
        <v>0</v>
      </c>
      <c r="CN20" t="b">
        <v>0</v>
      </c>
      <c r="CP20">
        <v>6</v>
      </c>
      <c r="CR20">
        <v>2</v>
      </c>
      <c r="CS20">
        <v>2797</v>
      </c>
      <c r="CT20">
        <v>2807</v>
      </c>
      <c r="CU20">
        <v>2798</v>
      </c>
      <c r="CZ20">
        <v>5.37</v>
      </c>
      <c r="DA20">
        <v>5.9</v>
      </c>
      <c r="DB20">
        <v>8.24</v>
      </c>
      <c r="DC20">
        <v>7.63</v>
      </c>
      <c r="DH20">
        <v>4460</v>
      </c>
      <c r="DI20">
        <v>4436</v>
      </c>
      <c r="DJ20">
        <v>413</v>
      </c>
      <c r="DK20">
        <v>414</v>
      </c>
      <c r="DP20">
        <v>4445</v>
      </c>
      <c r="DQ20">
        <v>4454</v>
      </c>
      <c r="DR20">
        <v>418</v>
      </c>
      <c r="DS20">
        <v>416</v>
      </c>
      <c r="DX20">
        <v>4455</v>
      </c>
      <c r="DY20">
        <v>4460</v>
      </c>
      <c r="DZ20">
        <v>415</v>
      </c>
      <c r="EA20">
        <v>415</v>
      </c>
      <c r="EB20" s="1">
        <v>46108.308148148149</v>
      </c>
      <c r="EG20" s="1">
        <v>46108.346435185187</v>
      </c>
      <c r="EJ20" s="1">
        <v>46108.381724537037</v>
      </c>
      <c r="EK20">
        <v>0.09</v>
      </c>
      <c r="EL20">
        <v>394</v>
      </c>
      <c r="EM20">
        <v>2980</v>
      </c>
      <c r="EN20">
        <v>0.04</v>
      </c>
      <c r="EO20">
        <v>858</v>
      </c>
      <c r="EP20">
        <v>3030</v>
      </c>
      <c r="EQ20">
        <v>8.85</v>
      </c>
      <c r="ER20">
        <v>4</v>
      </c>
      <c r="ES20">
        <v>2953</v>
      </c>
      <c r="ET20">
        <v>0</v>
      </c>
      <c r="EU20">
        <v>0</v>
      </c>
      <c r="EV20">
        <v>2904</v>
      </c>
      <c r="EW20">
        <v>11.62</v>
      </c>
      <c r="EX20">
        <v>3</v>
      </c>
      <c r="EY20">
        <v>2921</v>
      </c>
      <c r="EZ20">
        <v>0</v>
      </c>
      <c r="FA20">
        <v>0</v>
      </c>
      <c r="FB20">
        <v>2903</v>
      </c>
      <c r="FC20">
        <v>6.8</v>
      </c>
      <c r="FJ20" t="s">
        <v>764</v>
      </c>
      <c r="FK20">
        <v>114</v>
      </c>
      <c r="FL20" s="1">
        <v>46108.381516203706</v>
      </c>
      <c r="FM20">
        <v>134</v>
      </c>
      <c r="FN20" t="s">
        <v>648</v>
      </c>
      <c r="FO20" t="s">
        <v>648</v>
      </c>
      <c r="FP20">
        <v>134</v>
      </c>
      <c r="FQ20" t="s">
        <v>648</v>
      </c>
      <c r="FR20" t="s">
        <v>649</v>
      </c>
      <c r="FS20" t="s">
        <v>650</v>
      </c>
      <c r="FT20" t="s">
        <v>582</v>
      </c>
      <c r="FV20" t="s">
        <v>573</v>
      </c>
      <c r="FW20" t="b">
        <v>0</v>
      </c>
      <c r="GA20" t="s">
        <v>765</v>
      </c>
      <c r="GB20">
        <v>18494</v>
      </c>
      <c r="GC20" s="1">
        <v>46108.256249999999</v>
      </c>
      <c r="GD20" t="s">
        <v>590</v>
      </c>
      <c r="GE20" t="s">
        <v>591</v>
      </c>
      <c r="GF20">
        <v>92</v>
      </c>
      <c r="GG20">
        <v>86</v>
      </c>
      <c r="GH20">
        <v>8</v>
      </c>
      <c r="GI20" t="s">
        <v>565</v>
      </c>
      <c r="GJ20">
        <v>247.96</v>
      </c>
      <c r="GL20">
        <v>61</v>
      </c>
      <c r="GN20" t="s">
        <v>652</v>
      </c>
      <c r="GP20">
        <v>61</v>
      </c>
      <c r="GR20" t="s">
        <v>652</v>
      </c>
      <c r="HI20" s="2">
        <v>46108</v>
      </c>
      <c r="HJ20" t="s">
        <v>593</v>
      </c>
      <c r="HK20" t="s">
        <v>537</v>
      </c>
      <c r="HM20">
        <v>5</v>
      </c>
      <c r="HN20">
        <v>1</v>
      </c>
      <c r="HV20">
        <v>1</v>
      </c>
      <c r="HW20" t="b">
        <v>0</v>
      </c>
      <c r="IB20">
        <v>2855</v>
      </c>
      <c r="IJ20">
        <v>2757</v>
      </c>
      <c r="IK20">
        <v>40</v>
      </c>
      <c r="IL20">
        <v>50</v>
      </c>
      <c r="IM20">
        <v>41</v>
      </c>
      <c r="IO20" t="s">
        <v>601</v>
      </c>
      <c r="IP20" t="s">
        <v>601</v>
      </c>
      <c r="IQ20" t="s">
        <v>566</v>
      </c>
      <c r="IR20">
        <v>10</v>
      </c>
      <c r="IT20" t="s">
        <v>653</v>
      </c>
      <c r="IV20">
        <v>28457</v>
      </c>
      <c r="IW20">
        <v>28338</v>
      </c>
      <c r="IX20">
        <v>28460</v>
      </c>
      <c r="IY20">
        <v>253.76386199999999</v>
      </c>
      <c r="IZ20">
        <v>0</v>
      </c>
      <c r="JA20">
        <v>1.1000000000000001</v>
      </c>
      <c r="JB20">
        <v>0</v>
      </c>
      <c r="JC20">
        <v>1.2688189999999999</v>
      </c>
      <c r="JD20">
        <v>255.032681</v>
      </c>
      <c r="JE20">
        <v>256.13268099999999</v>
      </c>
      <c r="JF20">
        <v>99.075100000000006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74.8</v>
      </c>
      <c r="JM20">
        <v>9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8</v>
      </c>
      <c r="JU20">
        <v>0</v>
      </c>
      <c r="JV20">
        <v>0</v>
      </c>
      <c r="JW20">
        <v>507527.72399999999</v>
      </c>
      <c r="JX20">
        <v>2640</v>
      </c>
      <c r="JY20">
        <v>74.8</v>
      </c>
      <c r="JZ20">
        <v>9.0625</v>
      </c>
      <c r="KA20">
        <v>0</v>
      </c>
      <c r="KB20">
        <v>253.76386199999999</v>
      </c>
      <c r="KC20">
        <v>1.2688189999999999</v>
      </c>
      <c r="KD20">
        <v>0</v>
      </c>
      <c r="KE20">
        <v>0</v>
      </c>
      <c r="KF20">
        <v>0</v>
      </c>
      <c r="KG20">
        <v>1.1000000000000001</v>
      </c>
      <c r="KH20">
        <v>0</v>
      </c>
      <c r="KI20">
        <v>0</v>
      </c>
      <c r="KJ20" t="s">
        <v>648</v>
      </c>
      <c r="KK20">
        <v>0.28360000000000002</v>
      </c>
      <c r="KL20">
        <v>28457</v>
      </c>
      <c r="KN20">
        <v>38260</v>
      </c>
      <c r="KO20">
        <v>121100</v>
      </c>
      <c r="KP20">
        <v>219940</v>
      </c>
      <c r="KX20">
        <v>27240</v>
      </c>
      <c r="LD20">
        <v>44480</v>
      </c>
      <c r="LV20">
        <v>67700</v>
      </c>
      <c r="MD20">
        <v>41240</v>
      </c>
      <c r="MQ20">
        <v>38586</v>
      </c>
      <c r="MR20">
        <v>121272</v>
      </c>
      <c r="MS20">
        <v>202968</v>
      </c>
      <c r="NG20">
        <v>44099</v>
      </c>
      <c r="NP20">
        <v>27561</v>
      </c>
      <c r="NY20">
        <v>55123</v>
      </c>
      <c r="OG20">
        <v>44099</v>
      </c>
      <c r="OT20">
        <v>3977</v>
      </c>
      <c r="PA20">
        <v>692</v>
      </c>
      <c r="PB20">
        <v>3878</v>
      </c>
      <c r="PC20">
        <v>417677</v>
      </c>
      <c r="PD20">
        <v>31716</v>
      </c>
      <c r="PE20">
        <v>10762</v>
      </c>
      <c r="PG20">
        <v>4</v>
      </c>
      <c r="PJ20">
        <v>20192</v>
      </c>
      <c r="PM20">
        <v>15293</v>
      </c>
      <c r="PN20">
        <v>1816</v>
      </c>
      <c r="PV20">
        <v>2241</v>
      </c>
      <c r="PW20">
        <v>4129</v>
      </c>
      <c r="PX20">
        <v>806</v>
      </c>
      <c r="PY20">
        <v>1793</v>
      </c>
      <c r="QD20">
        <v>200</v>
      </c>
      <c r="QE20">
        <v>849</v>
      </c>
      <c r="QI20">
        <v>200</v>
      </c>
      <c r="QK20">
        <v>9</v>
      </c>
      <c r="QM20">
        <v>6</v>
      </c>
      <c r="QS20">
        <v>700</v>
      </c>
      <c r="QW20">
        <v>150</v>
      </c>
      <c r="QY20">
        <v>499</v>
      </c>
      <c r="SE20" s="1">
        <v>46086.322222222225</v>
      </c>
      <c r="SF20">
        <v>28457</v>
      </c>
      <c r="SG20">
        <v>408244</v>
      </c>
      <c r="SH20">
        <v>20</v>
      </c>
      <c r="SI20" t="s">
        <v>567</v>
      </c>
      <c r="SJ20">
        <v>50</v>
      </c>
      <c r="SK20" s="1">
        <v>46108.310034722221</v>
      </c>
      <c r="SZ20">
        <v>0.17599999999999999</v>
      </c>
      <c r="TA20">
        <v>1.1319999999999999</v>
      </c>
      <c r="TB20">
        <v>1.0699999999999999E-2</v>
      </c>
      <c r="TC20">
        <v>3.0999999999999999E-3</v>
      </c>
      <c r="TD20">
        <v>0.20300000000000001</v>
      </c>
      <c r="TE20">
        <v>0.16700000000000001</v>
      </c>
      <c r="TF20">
        <v>6.7000000000000004E-2</v>
      </c>
      <c r="TG20">
        <v>0.10299999999999999</v>
      </c>
      <c r="TH20">
        <v>1.2999999999999999E-2</v>
      </c>
      <c r="TI20">
        <v>3.5000000000000003E-2</v>
      </c>
      <c r="TJ20">
        <v>7.0000000000000001E-3</v>
      </c>
      <c r="TK20">
        <v>3.8571399999999998</v>
      </c>
      <c r="TL20">
        <v>3.0000000000000001E-3</v>
      </c>
      <c r="TM20" t="s">
        <v>568</v>
      </c>
      <c r="TN20">
        <v>1.8E-3</v>
      </c>
      <c r="TO20">
        <v>1.9E-3</v>
      </c>
      <c r="TP20" t="s">
        <v>569</v>
      </c>
      <c r="TQ20">
        <v>9.1000000000000004E-3</v>
      </c>
      <c r="TR20" t="s">
        <v>570</v>
      </c>
      <c r="TS20" t="s">
        <v>578</v>
      </c>
      <c r="TU20">
        <v>0.25440000000000002</v>
      </c>
      <c r="TV20">
        <v>6.7999999999999996E-3</v>
      </c>
      <c r="UD20">
        <v>0.4</v>
      </c>
      <c r="UE20">
        <v>0.433</v>
      </c>
      <c r="UF20">
        <v>0.21</v>
      </c>
      <c r="UH20">
        <v>3.2000000000000003E-4</v>
      </c>
      <c r="UJ20">
        <v>0.36120000000000002</v>
      </c>
      <c r="UK20">
        <v>0.23</v>
      </c>
      <c r="UL20">
        <v>0.34</v>
      </c>
      <c r="UM20">
        <v>5.1999999999999998E-3</v>
      </c>
      <c r="UN20">
        <v>0.35</v>
      </c>
      <c r="UO20">
        <v>4.2446999999999999</v>
      </c>
      <c r="UP20">
        <v>1.62</v>
      </c>
      <c r="UQ20">
        <v>0.62</v>
      </c>
      <c r="UR20" s="1">
        <v>46086.322222222225</v>
      </c>
    </row>
    <row r="21" spans="1:564" x14ac:dyDescent="0.35">
      <c r="A21">
        <v>28458</v>
      </c>
      <c r="B21">
        <v>18495</v>
      </c>
      <c r="C21">
        <v>850</v>
      </c>
      <c r="D21">
        <v>26131</v>
      </c>
      <c r="G21" t="s">
        <v>645</v>
      </c>
      <c r="H21">
        <v>500000</v>
      </c>
      <c r="L21" t="s">
        <v>586</v>
      </c>
      <c r="M21">
        <v>74.8</v>
      </c>
      <c r="N21">
        <v>330</v>
      </c>
      <c r="O21" t="s">
        <v>596</v>
      </c>
      <c r="P21">
        <v>9</v>
      </c>
      <c r="S21" s="1">
        <v>46108.177557870367</v>
      </c>
      <c r="U21">
        <v>75</v>
      </c>
      <c r="W21">
        <v>33</v>
      </c>
      <c r="X21">
        <v>458008</v>
      </c>
      <c r="Y21" s="1">
        <v>46108.253136574072</v>
      </c>
      <c r="AB21">
        <v>92073</v>
      </c>
      <c r="AC21">
        <v>279</v>
      </c>
      <c r="AD21">
        <v>1087</v>
      </c>
      <c r="AE21">
        <v>174979</v>
      </c>
      <c r="AF21">
        <v>0.14000000000000001</v>
      </c>
      <c r="AG21">
        <v>255</v>
      </c>
      <c r="AH21">
        <v>2892</v>
      </c>
      <c r="AI21">
        <v>0.08</v>
      </c>
      <c r="AJ21">
        <v>455</v>
      </c>
      <c r="AK21">
        <v>2923</v>
      </c>
      <c r="AL21">
        <v>22</v>
      </c>
      <c r="AM21" t="s">
        <v>770</v>
      </c>
      <c r="AO21" s="1">
        <v>46108.254594907405</v>
      </c>
      <c r="AP21">
        <v>1</v>
      </c>
      <c r="AS21" s="1">
        <v>46108.256388888891</v>
      </c>
      <c r="AT21" s="1">
        <v>46108.298344907409</v>
      </c>
      <c r="AU21">
        <v>15</v>
      </c>
      <c r="AV21">
        <v>47</v>
      </c>
      <c r="AY21">
        <v>477646</v>
      </c>
      <c r="AZ21">
        <v>469995</v>
      </c>
      <c r="BA21">
        <v>1450</v>
      </c>
      <c r="BB21">
        <v>2910</v>
      </c>
      <c r="BC21">
        <v>2862</v>
      </c>
      <c r="BD21">
        <v>0</v>
      </c>
      <c r="BF21" t="s">
        <v>771</v>
      </c>
      <c r="BG21" s="1">
        <v>46108.298842592594</v>
      </c>
      <c r="BH21" s="1">
        <v>46108.340462962966</v>
      </c>
      <c r="BI21" s="1">
        <v>46108.346446759257</v>
      </c>
      <c r="BJ21" s="1">
        <v>46108.399525462963</v>
      </c>
      <c r="BK21">
        <v>1.1000000000000001</v>
      </c>
      <c r="BM21">
        <v>4118</v>
      </c>
      <c r="BS21" t="s">
        <v>772</v>
      </c>
      <c r="BT21" s="1">
        <v>46108.309178240743</v>
      </c>
      <c r="BU21" s="1">
        <v>46108.359212962961</v>
      </c>
      <c r="BV21" t="b">
        <v>0</v>
      </c>
      <c r="BX21">
        <v>2</v>
      </c>
      <c r="BY21" t="b">
        <v>0</v>
      </c>
      <c r="CD21">
        <v>0.9</v>
      </c>
      <c r="CF21" s="1">
        <v>46107.989583333336</v>
      </c>
      <c r="CG21" t="b">
        <v>0</v>
      </c>
      <c r="CH21" t="b">
        <v>0</v>
      </c>
      <c r="CI21" t="b">
        <v>0</v>
      </c>
      <c r="CJ21" t="b">
        <v>0</v>
      </c>
      <c r="CK21" t="b">
        <v>0</v>
      </c>
      <c r="CL21" t="b">
        <v>0</v>
      </c>
      <c r="CM21" t="b">
        <v>0</v>
      </c>
      <c r="CN21" t="b">
        <v>0</v>
      </c>
      <c r="CP21">
        <v>6</v>
      </c>
      <c r="CR21">
        <v>2</v>
      </c>
      <c r="CS21">
        <v>2800</v>
      </c>
      <c r="CT21">
        <v>2808</v>
      </c>
      <c r="CU21">
        <v>2809</v>
      </c>
      <c r="CZ21">
        <v>6.32</v>
      </c>
      <c r="DA21">
        <v>5.7</v>
      </c>
      <c r="DB21">
        <v>8.2100000000000009</v>
      </c>
      <c r="DC21">
        <v>7.4</v>
      </c>
      <c r="DH21">
        <v>4446</v>
      </c>
      <c r="DI21">
        <v>4445</v>
      </c>
      <c r="DJ21">
        <v>416</v>
      </c>
      <c r="DK21">
        <v>416</v>
      </c>
      <c r="DP21">
        <v>4448</v>
      </c>
      <c r="DQ21">
        <v>4431</v>
      </c>
      <c r="DR21">
        <v>417</v>
      </c>
      <c r="DS21">
        <v>416</v>
      </c>
      <c r="DX21">
        <v>4450</v>
      </c>
      <c r="DY21">
        <v>4441</v>
      </c>
      <c r="DZ21">
        <v>418</v>
      </c>
      <c r="EA21">
        <v>417</v>
      </c>
      <c r="EB21" s="1">
        <v>46108.360254629632</v>
      </c>
      <c r="EG21" s="1">
        <v>46108.399525462963</v>
      </c>
      <c r="EJ21" s="1">
        <v>46108.417164351849</v>
      </c>
      <c r="EK21">
        <v>0.04</v>
      </c>
      <c r="EL21">
        <v>818</v>
      </c>
      <c r="EM21">
        <v>3004</v>
      </c>
      <c r="EQ21">
        <v>3.47</v>
      </c>
      <c r="ER21">
        <v>10</v>
      </c>
      <c r="ES21">
        <v>2910</v>
      </c>
      <c r="ET21">
        <v>0</v>
      </c>
      <c r="EU21">
        <v>0</v>
      </c>
      <c r="EV21">
        <v>2849</v>
      </c>
      <c r="EW21">
        <v>0</v>
      </c>
      <c r="EX21">
        <v>0</v>
      </c>
      <c r="EY21">
        <v>2885</v>
      </c>
      <c r="EZ21">
        <v>0</v>
      </c>
      <c r="FA21">
        <v>0</v>
      </c>
      <c r="FB21">
        <v>2862</v>
      </c>
      <c r="FC21">
        <v>7.4</v>
      </c>
      <c r="FJ21" t="s">
        <v>773</v>
      </c>
      <c r="FK21">
        <v>114</v>
      </c>
      <c r="FL21" s="1">
        <v>46108.416956018518</v>
      </c>
      <c r="FM21">
        <v>134</v>
      </c>
      <c r="FN21" t="s">
        <v>648</v>
      </c>
      <c r="FO21" t="s">
        <v>648</v>
      </c>
      <c r="FP21">
        <v>134</v>
      </c>
      <c r="FQ21" t="s">
        <v>648</v>
      </c>
      <c r="FR21" t="s">
        <v>649</v>
      </c>
      <c r="FS21" t="s">
        <v>650</v>
      </c>
      <c r="FT21" t="s">
        <v>580</v>
      </c>
      <c r="FV21" t="s">
        <v>573</v>
      </c>
      <c r="FW21" t="b">
        <v>0</v>
      </c>
      <c r="GA21" t="s">
        <v>774</v>
      </c>
      <c r="GB21">
        <v>18495</v>
      </c>
      <c r="GC21" s="1">
        <v>46108.309178240743</v>
      </c>
      <c r="GD21" t="s">
        <v>590</v>
      </c>
      <c r="GE21" t="s">
        <v>591</v>
      </c>
      <c r="GF21">
        <v>109</v>
      </c>
      <c r="GG21">
        <v>60</v>
      </c>
      <c r="GH21">
        <v>77</v>
      </c>
      <c r="GI21" t="s">
        <v>574</v>
      </c>
      <c r="GJ21">
        <v>229</v>
      </c>
      <c r="GL21">
        <v>61</v>
      </c>
      <c r="GN21" t="s">
        <v>652</v>
      </c>
      <c r="GP21">
        <v>61</v>
      </c>
      <c r="GR21" t="s">
        <v>652</v>
      </c>
      <c r="HI21" s="2">
        <v>46108</v>
      </c>
      <c r="HJ21" t="s">
        <v>593</v>
      </c>
      <c r="HK21" t="s">
        <v>537</v>
      </c>
      <c r="HM21">
        <v>6</v>
      </c>
      <c r="HN21">
        <v>1</v>
      </c>
      <c r="HV21">
        <v>1</v>
      </c>
      <c r="HW21" t="b">
        <v>0</v>
      </c>
      <c r="IB21">
        <v>2860</v>
      </c>
      <c r="IJ21">
        <v>2757</v>
      </c>
      <c r="IK21">
        <v>43</v>
      </c>
      <c r="IL21">
        <v>51</v>
      </c>
      <c r="IM21">
        <v>52</v>
      </c>
      <c r="IO21" t="s">
        <v>601</v>
      </c>
      <c r="IP21" t="s">
        <v>601</v>
      </c>
      <c r="IQ21" t="s">
        <v>566</v>
      </c>
      <c r="IR21">
        <v>6</v>
      </c>
      <c r="IT21" t="s">
        <v>653</v>
      </c>
      <c r="IV21">
        <v>28458</v>
      </c>
      <c r="IW21">
        <v>28338</v>
      </c>
      <c r="IX21">
        <v>28460</v>
      </c>
      <c r="IY21">
        <v>253.76386199999999</v>
      </c>
      <c r="IZ21">
        <v>0</v>
      </c>
      <c r="JA21">
        <v>1.1000000000000001</v>
      </c>
      <c r="JB21">
        <v>0</v>
      </c>
      <c r="JC21">
        <v>1.2688189999999999</v>
      </c>
      <c r="JD21">
        <v>255.032681</v>
      </c>
      <c r="JE21">
        <v>256.13268099999999</v>
      </c>
      <c r="JF21">
        <v>99.075100000000006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74.8</v>
      </c>
      <c r="JM21">
        <v>9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8</v>
      </c>
      <c r="JU21">
        <v>0</v>
      </c>
      <c r="JV21">
        <v>0</v>
      </c>
      <c r="JW21">
        <v>507527.72399999999</v>
      </c>
      <c r="JX21">
        <v>2640</v>
      </c>
      <c r="JY21">
        <v>74.8</v>
      </c>
      <c r="JZ21">
        <v>9.0625</v>
      </c>
      <c r="KA21">
        <v>0</v>
      </c>
      <c r="KB21">
        <v>253.76386199999999</v>
      </c>
      <c r="KC21">
        <v>1.2688189999999999</v>
      </c>
      <c r="KD21">
        <v>0</v>
      </c>
      <c r="KE21">
        <v>0</v>
      </c>
      <c r="KF21">
        <v>0</v>
      </c>
      <c r="KG21">
        <v>1.1000000000000001</v>
      </c>
      <c r="KH21">
        <v>0</v>
      </c>
      <c r="KI21">
        <v>0</v>
      </c>
      <c r="KJ21" t="s">
        <v>648</v>
      </c>
      <c r="KK21">
        <v>0.28360000000000002</v>
      </c>
      <c r="KL21">
        <v>28458</v>
      </c>
      <c r="KN21">
        <v>37420</v>
      </c>
      <c r="KO21">
        <v>120900</v>
      </c>
      <c r="KP21">
        <v>231320</v>
      </c>
      <c r="KX21">
        <v>25920</v>
      </c>
      <c r="LD21">
        <v>41920</v>
      </c>
      <c r="LV21">
        <v>54460</v>
      </c>
      <c r="MD21">
        <v>42620</v>
      </c>
      <c r="MQ21">
        <v>38586</v>
      </c>
      <c r="MR21">
        <v>121272</v>
      </c>
      <c r="MS21">
        <v>221332</v>
      </c>
      <c r="NG21">
        <v>44099</v>
      </c>
      <c r="NP21">
        <v>27561</v>
      </c>
      <c r="NY21">
        <v>55123</v>
      </c>
      <c r="OG21">
        <v>44099</v>
      </c>
      <c r="OT21">
        <v>3938</v>
      </c>
      <c r="PA21">
        <v>608</v>
      </c>
      <c r="PB21">
        <v>3953</v>
      </c>
      <c r="PC21">
        <v>401070</v>
      </c>
      <c r="PD21">
        <v>43785</v>
      </c>
      <c r="PE21">
        <v>8845</v>
      </c>
      <c r="PG21">
        <v>3</v>
      </c>
      <c r="PJ21">
        <v>19621</v>
      </c>
      <c r="PM21">
        <v>15398</v>
      </c>
      <c r="PN21">
        <v>2013</v>
      </c>
      <c r="PR21">
        <v>100</v>
      </c>
      <c r="PV21">
        <v>1114</v>
      </c>
      <c r="PW21">
        <v>4990</v>
      </c>
      <c r="PX21">
        <v>553</v>
      </c>
      <c r="PY21">
        <v>1288</v>
      </c>
      <c r="QD21">
        <v>400</v>
      </c>
      <c r="QE21">
        <v>849</v>
      </c>
      <c r="QK21">
        <v>4</v>
      </c>
      <c r="QM21">
        <v>4</v>
      </c>
      <c r="QS21">
        <v>550</v>
      </c>
      <c r="QW21">
        <v>125</v>
      </c>
      <c r="QY21">
        <v>450</v>
      </c>
      <c r="SE21" s="1">
        <v>46086.322222222225</v>
      </c>
      <c r="SF21">
        <v>28458</v>
      </c>
      <c r="SG21">
        <v>408261</v>
      </c>
      <c r="SH21">
        <v>20</v>
      </c>
      <c r="SI21" t="s">
        <v>567</v>
      </c>
      <c r="SJ21">
        <v>50</v>
      </c>
      <c r="SK21" s="1">
        <v>46108.338182870371</v>
      </c>
      <c r="SZ21">
        <v>0.192</v>
      </c>
      <c r="TA21">
        <v>1.129</v>
      </c>
      <c r="TB21">
        <v>1.04E-2</v>
      </c>
      <c r="TC21">
        <v>3.3E-3</v>
      </c>
      <c r="TD21">
        <v>0.182</v>
      </c>
      <c r="TE21">
        <v>0.157</v>
      </c>
      <c r="TF21">
        <v>7.3999999999999996E-2</v>
      </c>
      <c r="TG21">
        <v>0.10199999999999999</v>
      </c>
      <c r="TH21">
        <v>1.4999999999999999E-2</v>
      </c>
      <c r="TI21">
        <v>3.9E-2</v>
      </c>
      <c r="TJ21">
        <v>8.0000000000000002E-3</v>
      </c>
      <c r="TK21">
        <v>4.3863599999999998</v>
      </c>
      <c r="TL21">
        <v>4.0000000000000001E-3</v>
      </c>
      <c r="TM21" t="s">
        <v>568</v>
      </c>
      <c r="TN21">
        <v>2.0999999999999999E-3</v>
      </c>
      <c r="TO21">
        <v>1.6999999999999999E-3</v>
      </c>
      <c r="TP21" t="s">
        <v>569</v>
      </c>
      <c r="TQ21">
        <v>8.8000000000000005E-3</v>
      </c>
      <c r="TR21" t="s">
        <v>570</v>
      </c>
      <c r="TS21" t="s">
        <v>578</v>
      </c>
      <c r="TU21">
        <v>0.26939999999999997</v>
      </c>
      <c r="TV21">
        <v>6.7000000000000002E-3</v>
      </c>
      <c r="UD21">
        <v>0.42</v>
      </c>
      <c r="UE21">
        <v>0.44650000000000001</v>
      </c>
      <c r="UF21">
        <v>0.19</v>
      </c>
      <c r="UH21">
        <v>3.4000000000000002E-4</v>
      </c>
      <c r="UJ21">
        <v>0.35970000000000002</v>
      </c>
      <c r="UK21">
        <v>0.22</v>
      </c>
      <c r="UL21">
        <v>0.33</v>
      </c>
      <c r="UM21">
        <v>6.4000000000000003E-3</v>
      </c>
      <c r="UN21">
        <v>0.34799999999999998</v>
      </c>
      <c r="UO21">
        <v>4.0692000000000004</v>
      </c>
      <c r="UP21">
        <v>1.54</v>
      </c>
      <c r="UQ21">
        <v>0.65</v>
      </c>
      <c r="UR21" s="1">
        <v>46086.322222222225</v>
      </c>
    </row>
    <row r="22" spans="1:564" x14ac:dyDescent="0.35">
      <c r="A22">
        <v>28459</v>
      </c>
      <c r="B22">
        <v>18496</v>
      </c>
      <c r="C22">
        <v>850</v>
      </c>
      <c r="D22">
        <v>26131</v>
      </c>
      <c r="G22" t="s">
        <v>645</v>
      </c>
      <c r="H22">
        <v>500000</v>
      </c>
      <c r="L22" t="s">
        <v>586</v>
      </c>
      <c r="M22">
        <v>74.8</v>
      </c>
      <c r="N22">
        <v>330</v>
      </c>
      <c r="O22" t="s">
        <v>596</v>
      </c>
      <c r="P22">
        <v>10</v>
      </c>
      <c r="S22" s="1">
        <v>46108.253136574072</v>
      </c>
      <c r="U22">
        <v>65</v>
      </c>
      <c r="W22">
        <v>8</v>
      </c>
      <c r="X22">
        <v>479668</v>
      </c>
      <c r="Y22" s="1">
        <v>46108.304571759261</v>
      </c>
      <c r="AB22">
        <v>81993</v>
      </c>
      <c r="AC22">
        <v>280</v>
      </c>
      <c r="AD22">
        <v>1088</v>
      </c>
      <c r="AE22">
        <v>220151</v>
      </c>
      <c r="AF22">
        <v>0.08</v>
      </c>
      <c r="AG22">
        <v>474</v>
      </c>
      <c r="AH22">
        <v>2955</v>
      </c>
      <c r="AI22">
        <v>0.05</v>
      </c>
      <c r="AJ22">
        <v>744</v>
      </c>
      <c r="AK22">
        <v>3013</v>
      </c>
      <c r="AO22" s="1">
        <v>46108.371990740743</v>
      </c>
      <c r="AP22">
        <v>2</v>
      </c>
      <c r="AS22" s="1">
        <v>46108.310925925929</v>
      </c>
      <c r="AT22" s="1">
        <v>46108.371388888889</v>
      </c>
      <c r="AU22">
        <v>10</v>
      </c>
      <c r="AV22">
        <v>77</v>
      </c>
      <c r="AY22">
        <v>485237</v>
      </c>
      <c r="AZ22">
        <v>479668</v>
      </c>
      <c r="BA22">
        <v>1040</v>
      </c>
      <c r="BB22">
        <v>2901</v>
      </c>
      <c r="BC22">
        <v>2861</v>
      </c>
      <c r="BG22" s="1">
        <v>46108.372129629628</v>
      </c>
      <c r="BH22" s="1">
        <v>46108.357303240744</v>
      </c>
      <c r="BI22" s="1">
        <v>46108.399537037039</v>
      </c>
      <c r="BJ22" s="1">
        <v>46108.447465277779</v>
      </c>
      <c r="BK22">
        <v>1.1000000000000001</v>
      </c>
      <c r="BM22">
        <v>4118</v>
      </c>
      <c r="BS22" t="s">
        <v>781</v>
      </c>
      <c r="BT22" s="1">
        <v>46108.364247685182</v>
      </c>
      <c r="BU22" s="1">
        <v>46108.409386574072</v>
      </c>
      <c r="BV22" t="b">
        <v>1</v>
      </c>
      <c r="BX22">
        <v>2</v>
      </c>
      <c r="BY22" t="b">
        <v>0</v>
      </c>
      <c r="BZ22">
        <v>1</v>
      </c>
      <c r="CD22">
        <v>1</v>
      </c>
      <c r="CG22" t="b">
        <v>0</v>
      </c>
      <c r="CH22" t="b">
        <v>0</v>
      </c>
      <c r="CI22" t="b">
        <v>0</v>
      </c>
      <c r="CJ22" t="b">
        <v>0</v>
      </c>
      <c r="CK22" t="b">
        <v>0</v>
      </c>
      <c r="CL22" t="b">
        <v>0</v>
      </c>
      <c r="CM22" t="b">
        <v>0</v>
      </c>
      <c r="CN22" t="b">
        <v>0</v>
      </c>
      <c r="CP22">
        <v>6</v>
      </c>
      <c r="CR22">
        <v>2</v>
      </c>
      <c r="CS22">
        <v>2802</v>
      </c>
      <c r="CT22">
        <v>2805</v>
      </c>
      <c r="CU22">
        <v>2802</v>
      </c>
      <c r="CZ22">
        <v>5.99</v>
      </c>
      <c r="DA22">
        <v>6.78</v>
      </c>
      <c r="DB22">
        <v>8.27</v>
      </c>
      <c r="DC22">
        <v>7.58</v>
      </c>
      <c r="DH22">
        <v>4447</v>
      </c>
      <c r="DI22">
        <v>4448</v>
      </c>
      <c r="DJ22">
        <v>416</v>
      </c>
      <c r="DK22">
        <v>416</v>
      </c>
      <c r="DP22">
        <v>4447</v>
      </c>
      <c r="DQ22">
        <v>4468</v>
      </c>
      <c r="DR22">
        <v>417</v>
      </c>
      <c r="DS22">
        <v>416</v>
      </c>
      <c r="DX22">
        <v>4448</v>
      </c>
      <c r="DY22">
        <v>4457</v>
      </c>
      <c r="DZ22">
        <v>418</v>
      </c>
      <c r="EA22">
        <v>416</v>
      </c>
      <c r="EB22" s="1">
        <v>46108.421018518522</v>
      </c>
      <c r="EG22" s="1">
        <v>46108.447465277779</v>
      </c>
      <c r="EJ22" s="1">
        <v>46108.453819444447</v>
      </c>
      <c r="EK22">
        <v>0.05</v>
      </c>
      <c r="EL22">
        <v>793</v>
      </c>
      <c r="EM22">
        <v>3045</v>
      </c>
      <c r="EQ22">
        <v>17.27</v>
      </c>
      <c r="ER22">
        <v>2</v>
      </c>
      <c r="ES22">
        <v>2901</v>
      </c>
      <c r="ET22">
        <v>0</v>
      </c>
      <c r="EU22">
        <v>0</v>
      </c>
      <c r="EV22">
        <v>2894</v>
      </c>
      <c r="EW22">
        <v>0</v>
      </c>
      <c r="EX22">
        <v>0</v>
      </c>
      <c r="EY22">
        <v>2861</v>
      </c>
      <c r="FC22">
        <v>7.5</v>
      </c>
      <c r="FJ22" t="s">
        <v>782</v>
      </c>
      <c r="FK22">
        <v>114</v>
      </c>
      <c r="FL22" s="1">
        <v>46108.453611111108</v>
      </c>
      <c r="FM22">
        <v>134</v>
      </c>
      <c r="FN22" t="s">
        <v>648</v>
      </c>
      <c r="FO22" t="s">
        <v>648</v>
      </c>
      <c r="FP22">
        <v>134</v>
      </c>
      <c r="FQ22" t="s">
        <v>648</v>
      </c>
      <c r="FR22" t="s">
        <v>649</v>
      </c>
      <c r="FS22" t="s">
        <v>650</v>
      </c>
      <c r="FT22" t="s">
        <v>638</v>
      </c>
      <c r="FV22" t="s">
        <v>573</v>
      </c>
      <c r="FW22" t="b">
        <v>0</v>
      </c>
      <c r="GA22" t="s">
        <v>783</v>
      </c>
      <c r="GB22">
        <v>18496</v>
      </c>
      <c r="GC22" s="1">
        <v>46108.364247685182</v>
      </c>
      <c r="GD22" t="s">
        <v>590</v>
      </c>
      <c r="GE22" t="s">
        <v>591</v>
      </c>
      <c r="GF22">
        <v>74</v>
      </c>
      <c r="GG22">
        <v>87</v>
      </c>
      <c r="GH22">
        <v>69</v>
      </c>
      <c r="GI22" t="s">
        <v>565</v>
      </c>
      <c r="GJ22">
        <v>239.83</v>
      </c>
      <c r="GL22">
        <v>61</v>
      </c>
      <c r="GN22" t="s">
        <v>652</v>
      </c>
      <c r="GP22">
        <v>61</v>
      </c>
      <c r="GR22" t="s">
        <v>652</v>
      </c>
      <c r="HI22" s="2">
        <v>46108</v>
      </c>
      <c r="HJ22" t="s">
        <v>593</v>
      </c>
      <c r="HK22" t="s">
        <v>537</v>
      </c>
      <c r="HM22">
        <v>7</v>
      </c>
      <c r="HN22">
        <v>1</v>
      </c>
      <c r="HV22">
        <v>1</v>
      </c>
      <c r="HW22" t="b">
        <v>0</v>
      </c>
      <c r="IB22">
        <v>2860</v>
      </c>
      <c r="IJ22">
        <v>2757</v>
      </c>
      <c r="IK22">
        <v>45</v>
      </c>
      <c r="IL22">
        <v>48</v>
      </c>
      <c r="IM22">
        <v>45</v>
      </c>
      <c r="IO22" t="s">
        <v>601</v>
      </c>
      <c r="IP22" t="s">
        <v>601</v>
      </c>
      <c r="IQ22" t="s">
        <v>566</v>
      </c>
      <c r="IR22">
        <v>8</v>
      </c>
      <c r="IT22" t="s">
        <v>653</v>
      </c>
      <c r="IV22">
        <v>28459</v>
      </c>
      <c r="IW22">
        <v>28338</v>
      </c>
      <c r="IX22">
        <v>28460</v>
      </c>
      <c r="IY22">
        <v>253.76386199999999</v>
      </c>
      <c r="IZ22">
        <v>0</v>
      </c>
      <c r="JA22">
        <v>1.1000000000000001</v>
      </c>
      <c r="JB22">
        <v>0</v>
      </c>
      <c r="JC22">
        <v>1.2688189999999999</v>
      </c>
      <c r="JD22">
        <v>255.032681</v>
      </c>
      <c r="JE22">
        <v>256.13268099999999</v>
      </c>
      <c r="JF22">
        <v>99.075100000000006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74.8</v>
      </c>
      <c r="JM22">
        <v>9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8</v>
      </c>
      <c r="JU22">
        <v>0</v>
      </c>
      <c r="JV22">
        <v>0</v>
      </c>
      <c r="JW22">
        <v>507527.72399999999</v>
      </c>
      <c r="JX22">
        <v>2640</v>
      </c>
      <c r="JY22">
        <v>74.8</v>
      </c>
      <c r="JZ22">
        <v>9.0625</v>
      </c>
      <c r="KA22">
        <v>0</v>
      </c>
      <c r="KB22">
        <v>253.76386199999999</v>
      </c>
      <c r="KC22">
        <v>1.2688189999999999</v>
      </c>
      <c r="KD22">
        <v>0</v>
      </c>
      <c r="KE22">
        <v>0</v>
      </c>
      <c r="KF22">
        <v>0</v>
      </c>
      <c r="KG22">
        <v>1.1000000000000001</v>
      </c>
      <c r="KH22">
        <v>0</v>
      </c>
      <c r="KI22">
        <v>0</v>
      </c>
      <c r="KJ22" t="s">
        <v>648</v>
      </c>
      <c r="KK22">
        <v>0.28360000000000002</v>
      </c>
      <c r="KL22">
        <v>28459</v>
      </c>
      <c r="KN22">
        <v>38120</v>
      </c>
      <c r="KO22">
        <v>113320</v>
      </c>
      <c r="KP22">
        <v>207640</v>
      </c>
      <c r="KX22">
        <v>25680</v>
      </c>
      <c r="LD22">
        <v>42700</v>
      </c>
      <c r="LV22">
        <v>51600</v>
      </c>
      <c r="MD22">
        <v>42780</v>
      </c>
      <c r="MQ22">
        <v>36399</v>
      </c>
      <c r="MR22">
        <v>114398</v>
      </c>
      <c r="MS22">
        <v>195502</v>
      </c>
      <c r="NG22">
        <v>41599</v>
      </c>
      <c r="NP22">
        <v>25999</v>
      </c>
      <c r="NY22">
        <v>51999</v>
      </c>
      <c r="OG22">
        <v>41599</v>
      </c>
      <c r="OT22">
        <v>4144</v>
      </c>
      <c r="PA22">
        <v>656</v>
      </c>
      <c r="PB22">
        <v>4036</v>
      </c>
      <c r="PC22">
        <v>351423</v>
      </c>
      <c r="PD22">
        <v>21150</v>
      </c>
      <c r="PE22">
        <v>8170</v>
      </c>
      <c r="PG22">
        <v>3</v>
      </c>
      <c r="PJ22">
        <v>16358</v>
      </c>
      <c r="PM22">
        <v>15769</v>
      </c>
      <c r="PN22">
        <v>2216</v>
      </c>
      <c r="PR22">
        <v>100</v>
      </c>
      <c r="PV22">
        <v>745</v>
      </c>
      <c r="PW22">
        <v>3584</v>
      </c>
      <c r="PX22">
        <v>600</v>
      </c>
      <c r="PY22">
        <v>1206</v>
      </c>
      <c r="QE22">
        <v>949</v>
      </c>
      <c r="QI22">
        <v>300</v>
      </c>
      <c r="QK22">
        <v>3</v>
      </c>
      <c r="QM22">
        <v>7</v>
      </c>
      <c r="QS22">
        <v>450</v>
      </c>
      <c r="QW22">
        <v>175</v>
      </c>
      <c r="QY22">
        <v>529</v>
      </c>
      <c r="SE22" s="1">
        <v>46086.322222222225</v>
      </c>
      <c r="SF22">
        <v>28459</v>
      </c>
      <c r="SG22">
        <v>408284</v>
      </c>
      <c r="SH22">
        <v>20</v>
      </c>
      <c r="SI22" t="s">
        <v>567</v>
      </c>
      <c r="SJ22">
        <v>50</v>
      </c>
      <c r="SK22" s="1">
        <v>46108.388483796298</v>
      </c>
      <c r="SZ22">
        <v>0.182</v>
      </c>
      <c r="TA22">
        <v>1.1100000000000001</v>
      </c>
      <c r="TB22">
        <v>9.1000000000000004E-3</v>
      </c>
      <c r="TC22">
        <v>6.7000000000000002E-3</v>
      </c>
      <c r="TD22">
        <v>0.17799999999999999</v>
      </c>
      <c r="TE22">
        <v>0.13200000000000001</v>
      </c>
      <c r="TF22">
        <v>6.3E-2</v>
      </c>
      <c r="TG22">
        <v>0.1</v>
      </c>
      <c r="TH22">
        <v>1.0999999999999999E-2</v>
      </c>
      <c r="TI22">
        <v>3.5000000000000003E-2</v>
      </c>
      <c r="TJ22">
        <v>8.0000000000000002E-3</v>
      </c>
      <c r="TK22">
        <v>4.0348800000000002</v>
      </c>
      <c r="TL22">
        <v>3.0000000000000001E-3</v>
      </c>
      <c r="TM22" t="s">
        <v>568</v>
      </c>
      <c r="TN22">
        <v>2E-3</v>
      </c>
      <c r="TO22">
        <v>1.8E-3</v>
      </c>
      <c r="TP22" t="s">
        <v>569</v>
      </c>
      <c r="TQ22">
        <v>8.6E-3</v>
      </c>
      <c r="TR22" t="s">
        <v>570</v>
      </c>
      <c r="TS22" t="s">
        <v>578</v>
      </c>
      <c r="TU22">
        <v>0.25600000000000001</v>
      </c>
      <c r="TV22">
        <v>6.6E-3</v>
      </c>
      <c r="UD22">
        <v>0.4</v>
      </c>
      <c r="UE22">
        <v>0.42759999999999998</v>
      </c>
      <c r="UF22">
        <v>0.21</v>
      </c>
      <c r="UH22">
        <v>2.9999999999999997E-4</v>
      </c>
      <c r="UJ22">
        <v>0.31740000000000002</v>
      </c>
      <c r="UK22">
        <v>0.19</v>
      </c>
      <c r="UL22">
        <v>0.3</v>
      </c>
      <c r="UM22">
        <v>4.8999999999999998E-3</v>
      </c>
      <c r="UN22">
        <v>0.30599999999999999</v>
      </c>
      <c r="UO22">
        <v>3.6328999999999998</v>
      </c>
      <c r="UP22">
        <v>1.32</v>
      </c>
      <c r="UQ22">
        <v>0.76</v>
      </c>
      <c r="UR22" s="1">
        <v>46086.322222222225</v>
      </c>
    </row>
    <row r="23" spans="1:564" x14ac:dyDescent="0.35">
      <c r="A23">
        <v>28460</v>
      </c>
      <c r="B23">
        <v>18497</v>
      </c>
      <c r="C23">
        <v>850</v>
      </c>
      <c r="D23">
        <v>26131</v>
      </c>
      <c r="G23" t="s">
        <v>645</v>
      </c>
      <c r="H23">
        <v>500000</v>
      </c>
      <c r="L23" t="s">
        <v>586</v>
      </c>
      <c r="M23">
        <v>74.8</v>
      </c>
      <c r="N23">
        <v>330</v>
      </c>
      <c r="O23" t="s">
        <v>596</v>
      </c>
      <c r="P23">
        <v>1</v>
      </c>
      <c r="S23" s="1">
        <v>46108.304571759261</v>
      </c>
      <c r="U23">
        <v>63</v>
      </c>
      <c r="W23">
        <v>17</v>
      </c>
      <c r="X23">
        <v>495910</v>
      </c>
      <c r="Y23" s="1">
        <v>46108.360393518517</v>
      </c>
      <c r="AB23">
        <v>76446</v>
      </c>
      <c r="AC23">
        <v>281</v>
      </c>
      <c r="AD23">
        <v>1089</v>
      </c>
      <c r="AE23">
        <v>216161</v>
      </c>
      <c r="AF23">
        <v>0.19</v>
      </c>
      <c r="AG23">
        <v>179</v>
      </c>
      <c r="AH23">
        <v>2843</v>
      </c>
      <c r="AI23">
        <v>0.11</v>
      </c>
      <c r="AJ23">
        <v>305</v>
      </c>
      <c r="AK23">
        <v>2910</v>
      </c>
      <c r="AL23">
        <v>6</v>
      </c>
      <c r="AM23" t="s">
        <v>646</v>
      </c>
      <c r="AO23" s="1">
        <v>46108.36886574074</v>
      </c>
      <c r="AP23">
        <v>1</v>
      </c>
      <c r="AS23" s="1">
        <v>46108.365671296298</v>
      </c>
      <c r="AT23" s="1">
        <v>46108.405335648145</v>
      </c>
      <c r="AU23">
        <v>12</v>
      </c>
      <c r="AV23">
        <v>46</v>
      </c>
      <c r="AY23">
        <v>493450</v>
      </c>
      <c r="AZ23">
        <v>485995</v>
      </c>
      <c r="BA23">
        <v>222750</v>
      </c>
      <c r="BB23">
        <v>2966</v>
      </c>
      <c r="BC23">
        <v>2868</v>
      </c>
      <c r="BD23">
        <v>0</v>
      </c>
      <c r="BG23" s="1">
        <v>46108.406527777777</v>
      </c>
      <c r="BH23" s="1">
        <v>46108.413611111115</v>
      </c>
      <c r="BI23" s="1">
        <v>46108.447476851848</v>
      </c>
      <c r="BJ23" s="1">
        <v>46108.489791666667</v>
      </c>
      <c r="BK23">
        <v>1.1000000000000001</v>
      </c>
      <c r="BL23">
        <v>7</v>
      </c>
      <c r="BM23">
        <v>4118</v>
      </c>
      <c r="BT23" s="1">
        <v>46108.415000000001</v>
      </c>
      <c r="BU23" s="1">
        <v>46108.457361111112</v>
      </c>
      <c r="BV23" t="b">
        <v>0</v>
      </c>
      <c r="BX23">
        <v>2</v>
      </c>
      <c r="BY23" t="b">
        <v>0</v>
      </c>
      <c r="CD23">
        <v>1.05</v>
      </c>
      <c r="CG23" t="b">
        <v>0</v>
      </c>
      <c r="CH23" t="b">
        <v>0</v>
      </c>
      <c r="CI23" t="b">
        <v>0</v>
      </c>
      <c r="CJ23" t="b">
        <v>0</v>
      </c>
      <c r="CK23" t="b">
        <v>0</v>
      </c>
      <c r="CL23" t="b">
        <v>0</v>
      </c>
      <c r="CM23" t="b">
        <v>0</v>
      </c>
      <c r="CN23" t="b">
        <v>0</v>
      </c>
      <c r="CP23">
        <v>6</v>
      </c>
      <c r="CR23">
        <v>2</v>
      </c>
      <c r="CS23">
        <v>2798</v>
      </c>
      <c r="CT23">
        <v>2820</v>
      </c>
      <c r="CU23">
        <v>2819</v>
      </c>
      <c r="CZ23">
        <v>6.02</v>
      </c>
      <c r="DA23">
        <v>6.27</v>
      </c>
      <c r="DB23">
        <v>8.8800000000000008</v>
      </c>
      <c r="DC23">
        <v>8.1300000000000008</v>
      </c>
      <c r="DH23">
        <v>4441</v>
      </c>
      <c r="DI23">
        <v>4453</v>
      </c>
      <c r="DJ23">
        <v>416</v>
      </c>
      <c r="DK23">
        <v>416</v>
      </c>
      <c r="DP23">
        <v>4469</v>
      </c>
      <c r="DQ23">
        <v>4452</v>
      </c>
      <c r="DR23">
        <v>416</v>
      </c>
      <c r="DS23">
        <v>415</v>
      </c>
      <c r="DX23">
        <v>4458</v>
      </c>
      <c r="DY23">
        <v>4439</v>
      </c>
      <c r="DZ23">
        <v>418</v>
      </c>
      <c r="EA23">
        <v>416</v>
      </c>
      <c r="EB23" s="1">
        <v>46108.47152777778</v>
      </c>
      <c r="EF23">
        <v>73</v>
      </c>
      <c r="EG23" s="1">
        <v>46108.489791666667</v>
      </c>
      <c r="EJ23" s="1">
        <v>46108.532349537039</v>
      </c>
      <c r="EK23">
        <v>7.0000000000000007E-2</v>
      </c>
      <c r="EL23">
        <v>503</v>
      </c>
      <c r="EM23">
        <v>2976</v>
      </c>
      <c r="EN23">
        <v>0.05</v>
      </c>
      <c r="EO23">
        <v>819</v>
      </c>
      <c r="EP23">
        <v>3056</v>
      </c>
      <c r="EQ23">
        <v>1.78</v>
      </c>
      <c r="ER23">
        <v>20</v>
      </c>
      <c r="ES23">
        <v>2966</v>
      </c>
      <c r="ET23">
        <v>0</v>
      </c>
      <c r="EU23">
        <v>0</v>
      </c>
      <c r="EV23">
        <v>2881</v>
      </c>
      <c r="EW23">
        <v>0</v>
      </c>
      <c r="EX23">
        <v>0</v>
      </c>
      <c r="EY23">
        <v>2871</v>
      </c>
      <c r="EZ23">
        <v>0</v>
      </c>
      <c r="FA23">
        <v>0</v>
      </c>
      <c r="FB23">
        <v>2862</v>
      </c>
      <c r="FC23">
        <v>7.7</v>
      </c>
      <c r="FJ23" t="s">
        <v>647</v>
      </c>
      <c r="FK23">
        <v>97</v>
      </c>
      <c r="FL23" s="1">
        <v>46108.532141203701</v>
      </c>
      <c r="FM23">
        <v>134</v>
      </c>
      <c r="FN23" t="s">
        <v>648</v>
      </c>
      <c r="FO23" t="s">
        <v>648</v>
      </c>
      <c r="FP23">
        <v>134</v>
      </c>
      <c r="FQ23" t="s">
        <v>648</v>
      </c>
      <c r="FR23" t="s">
        <v>649</v>
      </c>
      <c r="FS23" t="s">
        <v>650</v>
      </c>
      <c r="FV23" t="s">
        <v>573</v>
      </c>
      <c r="FW23" t="b">
        <v>0</v>
      </c>
      <c r="GA23" t="s">
        <v>651</v>
      </c>
      <c r="GB23">
        <v>18497</v>
      </c>
      <c r="GC23" s="1">
        <v>46108.415000000001</v>
      </c>
      <c r="GD23" t="s">
        <v>590</v>
      </c>
      <c r="GE23" t="s">
        <v>591</v>
      </c>
      <c r="GF23">
        <v>80</v>
      </c>
      <c r="GG23">
        <v>57</v>
      </c>
      <c r="GH23">
        <v>61</v>
      </c>
      <c r="GI23" t="s">
        <v>574</v>
      </c>
      <c r="GJ23">
        <v>247.96</v>
      </c>
      <c r="GL23">
        <v>61</v>
      </c>
      <c r="GN23" t="s">
        <v>652</v>
      </c>
      <c r="GP23">
        <v>61</v>
      </c>
      <c r="GR23" t="s">
        <v>652</v>
      </c>
      <c r="GT23">
        <v>1940</v>
      </c>
      <c r="GV23">
        <v>9.8000000000000007</v>
      </c>
      <c r="GX23">
        <v>9.3000000000000007</v>
      </c>
      <c r="GZ23">
        <v>8.3000000000000007</v>
      </c>
      <c r="HB23">
        <v>8.1999999999999993</v>
      </c>
      <c r="HD23">
        <v>74.75</v>
      </c>
      <c r="HF23">
        <v>75</v>
      </c>
      <c r="HI23" s="2">
        <v>46108</v>
      </c>
      <c r="HJ23" t="s">
        <v>593</v>
      </c>
      <c r="HK23" t="s">
        <v>537</v>
      </c>
      <c r="HM23">
        <v>8</v>
      </c>
      <c r="HN23">
        <v>1</v>
      </c>
      <c r="HV23">
        <v>1</v>
      </c>
      <c r="HW23" t="b">
        <v>1</v>
      </c>
      <c r="HX23" s="1">
        <v>46108.467453703706</v>
      </c>
      <c r="HY23" t="b">
        <v>0</v>
      </c>
      <c r="IB23">
        <v>2860</v>
      </c>
      <c r="IJ23">
        <v>2757</v>
      </c>
      <c r="IK23">
        <v>41</v>
      </c>
      <c r="IL23">
        <v>63</v>
      </c>
      <c r="IM23">
        <v>62</v>
      </c>
      <c r="IO23" t="s">
        <v>601</v>
      </c>
      <c r="IP23" t="s">
        <v>601</v>
      </c>
      <c r="IQ23" t="s">
        <v>566</v>
      </c>
      <c r="IT23" t="s">
        <v>653</v>
      </c>
      <c r="IU23" s="1">
        <v>46108.484201388892</v>
      </c>
      <c r="IV23">
        <v>28460</v>
      </c>
      <c r="IW23">
        <v>28338</v>
      </c>
      <c r="IX23">
        <v>28460</v>
      </c>
      <c r="IY23">
        <v>222.620115</v>
      </c>
      <c r="IZ23">
        <v>7.0169550000000003</v>
      </c>
      <c r="JA23">
        <v>8.1</v>
      </c>
      <c r="JB23">
        <v>0</v>
      </c>
      <c r="JC23">
        <v>1.148185</v>
      </c>
      <c r="JD23">
        <v>230.78525500000001</v>
      </c>
      <c r="JE23">
        <v>238.885255</v>
      </c>
      <c r="JF23">
        <v>93.191199999999995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74.8</v>
      </c>
      <c r="JM23">
        <v>9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7</v>
      </c>
      <c r="JU23">
        <v>0</v>
      </c>
      <c r="JV23">
        <v>73</v>
      </c>
      <c r="JW23">
        <v>445240.23060000001</v>
      </c>
      <c r="JX23">
        <v>2316</v>
      </c>
      <c r="JY23">
        <v>74.8</v>
      </c>
      <c r="JZ23">
        <v>9.0625</v>
      </c>
      <c r="KA23">
        <v>73</v>
      </c>
      <c r="KB23">
        <v>222.620115</v>
      </c>
      <c r="KC23">
        <v>1.148185</v>
      </c>
      <c r="KD23">
        <v>7.0169550000000003</v>
      </c>
      <c r="KE23">
        <v>0</v>
      </c>
      <c r="KF23">
        <v>14033.910550000001</v>
      </c>
      <c r="KG23">
        <v>1.1000000000000001</v>
      </c>
      <c r="KH23">
        <v>7</v>
      </c>
      <c r="KI23">
        <v>0</v>
      </c>
      <c r="KJ23" t="s">
        <v>648</v>
      </c>
      <c r="KK23">
        <v>0.28360000000000002</v>
      </c>
      <c r="KL23">
        <v>28460</v>
      </c>
      <c r="KM23">
        <v>171220</v>
      </c>
      <c r="KN23">
        <v>40580</v>
      </c>
      <c r="KP23">
        <v>170880</v>
      </c>
      <c r="KX23">
        <v>43100</v>
      </c>
      <c r="LD23">
        <v>38160</v>
      </c>
      <c r="MD23">
        <v>40020</v>
      </c>
      <c r="MP23">
        <v>169998</v>
      </c>
      <c r="MQ23">
        <v>39999</v>
      </c>
      <c r="MS23">
        <v>119998</v>
      </c>
      <c r="MZ23">
        <v>39999</v>
      </c>
      <c r="NA23">
        <v>39999</v>
      </c>
      <c r="OG23">
        <v>35730</v>
      </c>
      <c r="OT23">
        <v>4169</v>
      </c>
      <c r="PA23">
        <v>619</v>
      </c>
      <c r="PB23">
        <v>4098</v>
      </c>
      <c r="PC23">
        <v>321554</v>
      </c>
      <c r="PD23">
        <v>23498</v>
      </c>
      <c r="PE23">
        <v>7219</v>
      </c>
      <c r="PG23">
        <v>4</v>
      </c>
      <c r="PJ23">
        <v>15970</v>
      </c>
      <c r="PM23">
        <v>13976</v>
      </c>
      <c r="PN23">
        <v>2202</v>
      </c>
      <c r="PR23">
        <v>100</v>
      </c>
      <c r="PV23">
        <v>1365</v>
      </c>
      <c r="PW23">
        <v>4182</v>
      </c>
      <c r="PX23">
        <v>606</v>
      </c>
      <c r="PY23">
        <v>1228</v>
      </c>
      <c r="QC23">
        <v>695</v>
      </c>
      <c r="QD23">
        <v>300</v>
      </c>
      <c r="QE23">
        <v>849</v>
      </c>
      <c r="QI23">
        <v>499</v>
      </c>
      <c r="QK23">
        <v>5</v>
      </c>
      <c r="QM23">
        <v>6</v>
      </c>
      <c r="QS23">
        <v>450</v>
      </c>
      <c r="QW23">
        <v>225</v>
      </c>
      <c r="QY23">
        <v>250</v>
      </c>
      <c r="SE23" s="1">
        <v>46086.322222222225</v>
      </c>
      <c r="SF23">
        <v>28460</v>
      </c>
      <c r="SG23">
        <v>408299</v>
      </c>
      <c r="SH23">
        <v>20</v>
      </c>
      <c r="SI23" t="s">
        <v>567</v>
      </c>
      <c r="SJ23">
        <v>50</v>
      </c>
      <c r="SK23" s="1">
        <v>46108.442569444444</v>
      </c>
      <c r="SZ23">
        <v>0.188</v>
      </c>
      <c r="TA23">
        <v>1.1319999999999999</v>
      </c>
      <c r="TB23">
        <v>9.9000000000000008E-3</v>
      </c>
      <c r="TC23">
        <v>6.0000000000000001E-3</v>
      </c>
      <c r="TD23">
        <v>0.185</v>
      </c>
      <c r="TE23">
        <v>0.112</v>
      </c>
      <c r="TF23">
        <v>7.0000000000000007E-2</v>
      </c>
      <c r="TG23">
        <v>0.104</v>
      </c>
      <c r="TH23">
        <v>0.01</v>
      </c>
      <c r="TI23">
        <v>3.5999999999999997E-2</v>
      </c>
      <c r="TJ23">
        <v>7.0000000000000001E-3</v>
      </c>
      <c r="TK23">
        <v>3.9444400000000002</v>
      </c>
      <c r="TL23">
        <v>3.0000000000000001E-3</v>
      </c>
      <c r="TM23" t="s">
        <v>568</v>
      </c>
      <c r="TN23">
        <v>2E-3</v>
      </c>
      <c r="TO23">
        <v>1.8E-3</v>
      </c>
      <c r="TP23" t="s">
        <v>569</v>
      </c>
      <c r="TQ23">
        <v>8.9999999999999993E-3</v>
      </c>
      <c r="TR23" t="s">
        <v>570</v>
      </c>
      <c r="TS23" t="s">
        <v>578</v>
      </c>
      <c r="TU23">
        <v>0.26300000000000001</v>
      </c>
      <c r="TV23">
        <v>6.7999999999999996E-3</v>
      </c>
      <c r="UD23">
        <v>0.41</v>
      </c>
      <c r="UE23">
        <v>0.43840000000000001</v>
      </c>
      <c r="UF23">
        <v>0.2</v>
      </c>
      <c r="UH23">
        <v>3.2000000000000003E-4</v>
      </c>
      <c r="UJ23">
        <v>0.30669999999999997</v>
      </c>
      <c r="UK23">
        <v>0.17</v>
      </c>
      <c r="UL23">
        <v>0.28999999999999998</v>
      </c>
      <c r="UM23">
        <v>5.1999999999999998E-3</v>
      </c>
      <c r="UN23">
        <v>0.29599999999999999</v>
      </c>
      <c r="UO23">
        <v>3.3338999999999999</v>
      </c>
      <c r="UP23">
        <v>1.08</v>
      </c>
      <c r="UQ23">
        <v>0.93</v>
      </c>
      <c r="UR23" s="1">
        <v>46086.322222222225</v>
      </c>
    </row>
    <row r="24" spans="1:564" x14ac:dyDescent="0.35">
      <c r="A24">
        <v>28461</v>
      </c>
      <c r="B24">
        <v>18514</v>
      </c>
      <c r="C24">
        <v>850</v>
      </c>
      <c r="D24">
        <v>26134</v>
      </c>
      <c r="G24" t="s">
        <v>668</v>
      </c>
      <c r="H24">
        <v>500000</v>
      </c>
      <c r="L24" t="s">
        <v>586</v>
      </c>
      <c r="M24">
        <v>74.8</v>
      </c>
      <c r="N24">
        <v>330</v>
      </c>
      <c r="O24" t="s">
        <v>596</v>
      </c>
      <c r="P24">
        <v>17</v>
      </c>
      <c r="S24" s="1">
        <v>46109.853993055556</v>
      </c>
      <c r="U24">
        <v>63</v>
      </c>
      <c r="W24">
        <v>11</v>
      </c>
      <c r="X24">
        <v>495910</v>
      </c>
      <c r="Y24" s="1">
        <v>46109.906145833331</v>
      </c>
      <c r="AB24">
        <v>80864</v>
      </c>
      <c r="AC24">
        <v>298</v>
      </c>
      <c r="AD24">
        <v>1106</v>
      </c>
      <c r="AE24">
        <v>180777</v>
      </c>
      <c r="AF24">
        <v>0.06</v>
      </c>
      <c r="AG24">
        <v>573</v>
      </c>
      <c r="AH24">
        <v>2908</v>
      </c>
      <c r="AI24">
        <v>0.04</v>
      </c>
      <c r="AJ24">
        <v>826</v>
      </c>
      <c r="AK24">
        <v>3000</v>
      </c>
      <c r="AL24">
        <v>4</v>
      </c>
      <c r="AM24" t="s">
        <v>818</v>
      </c>
      <c r="AO24" s="1">
        <v>46110.024317129632</v>
      </c>
      <c r="AP24">
        <v>1</v>
      </c>
      <c r="AS24" s="1">
        <v>46109.91207175926</v>
      </c>
      <c r="AT24" s="1">
        <v>46110.024131944447</v>
      </c>
      <c r="AU24">
        <v>32</v>
      </c>
      <c r="AV24">
        <v>145</v>
      </c>
      <c r="AY24">
        <v>495880</v>
      </c>
      <c r="AZ24">
        <v>484106</v>
      </c>
      <c r="BA24">
        <v>5500</v>
      </c>
      <c r="BB24">
        <v>2896</v>
      </c>
      <c r="BC24">
        <v>2869</v>
      </c>
      <c r="BD24">
        <v>0</v>
      </c>
      <c r="BF24" t="s">
        <v>819</v>
      </c>
      <c r="BG24" s="1">
        <v>46110.024467592593</v>
      </c>
      <c r="BH24" s="1">
        <v>46110.032638888886</v>
      </c>
      <c r="BI24" s="1">
        <v>46110.051296296297</v>
      </c>
      <c r="BJ24" s="1">
        <v>46110.12060185185</v>
      </c>
      <c r="BK24">
        <v>1.1000000000000001</v>
      </c>
      <c r="BM24">
        <v>4123</v>
      </c>
      <c r="BT24" s="1">
        <v>46110.036111111112</v>
      </c>
      <c r="BU24" s="1">
        <v>46110.085416666669</v>
      </c>
      <c r="BV24" t="b">
        <v>0</v>
      </c>
      <c r="BX24">
        <v>6</v>
      </c>
      <c r="BY24" t="b">
        <v>0</v>
      </c>
      <c r="CD24">
        <v>0.9</v>
      </c>
      <c r="CF24" s="1">
        <v>46109.989710648151</v>
      </c>
      <c r="CG24" t="b">
        <v>0</v>
      </c>
      <c r="CH24" t="b">
        <v>0</v>
      </c>
      <c r="CI24" t="b">
        <v>0</v>
      </c>
      <c r="CJ24" t="b">
        <v>0</v>
      </c>
      <c r="CK24" t="b">
        <v>0</v>
      </c>
      <c r="CL24" t="b">
        <v>0</v>
      </c>
      <c r="CM24" t="b">
        <v>0</v>
      </c>
      <c r="CN24" t="b">
        <v>0</v>
      </c>
      <c r="CP24">
        <v>6</v>
      </c>
      <c r="CR24">
        <v>2</v>
      </c>
      <c r="CS24">
        <v>2804</v>
      </c>
      <c r="CT24">
        <v>2809</v>
      </c>
      <c r="CU24">
        <v>2811</v>
      </c>
      <c r="CZ24">
        <v>6.1</v>
      </c>
      <c r="DA24">
        <v>6.03</v>
      </c>
      <c r="DB24">
        <v>7.81</v>
      </c>
      <c r="DC24">
        <v>6.99</v>
      </c>
      <c r="DH24">
        <v>4451</v>
      </c>
      <c r="DI24">
        <v>4445</v>
      </c>
      <c r="DJ24">
        <v>416</v>
      </c>
      <c r="DK24">
        <v>417</v>
      </c>
      <c r="EB24" s="1">
        <v>46110.085775462961</v>
      </c>
      <c r="ED24">
        <v>30</v>
      </c>
      <c r="EG24" s="1">
        <v>46110.12060185185</v>
      </c>
      <c r="EJ24" s="1">
        <v>46110.321805555555</v>
      </c>
      <c r="EQ24">
        <v>8.61</v>
      </c>
      <c r="ER24">
        <v>4</v>
      </c>
      <c r="ES24">
        <v>2896</v>
      </c>
      <c r="ET24">
        <v>0</v>
      </c>
      <c r="EU24">
        <v>0</v>
      </c>
      <c r="EV24">
        <v>2849</v>
      </c>
      <c r="EW24">
        <v>0</v>
      </c>
      <c r="EX24">
        <v>0</v>
      </c>
      <c r="EY24">
        <v>2919</v>
      </c>
      <c r="EZ24">
        <v>0</v>
      </c>
      <c r="FA24">
        <v>0</v>
      </c>
      <c r="FB24">
        <v>2876</v>
      </c>
      <c r="FC24">
        <v>8.4</v>
      </c>
      <c r="FG24" t="b">
        <v>1</v>
      </c>
      <c r="FI24" t="s">
        <v>571</v>
      </c>
      <c r="FJ24" t="s">
        <v>820</v>
      </c>
      <c r="FK24">
        <v>114</v>
      </c>
      <c r="FL24" s="1">
        <v>46110.321574074071</v>
      </c>
      <c r="FM24">
        <v>108</v>
      </c>
      <c r="FN24" t="s">
        <v>669</v>
      </c>
      <c r="FO24" t="s">
        <v>669</v>
      </c>
      <c r="FP24">
        <v>108</v>
      </c>
      <c r="FQ24" t="s">
        <v>669</v>
      </c>
      <c r="FR24" t="s">
        <v>669</v>
      </c>
      <c r="FS24" t="s">
        <v>670</v>
      </c>
      <c r="FV24" t="s">
        <v>573</v>
      </c>
      <c r="FW24" t="b">
        <v>0</v>
      </c>
      <c r="GA24" t="s">
        <v>821</v>
      </c>
      <c r="GB24">
        <v>18514</v>
      </c>
      <c r="GC24" s="1">
        <v>46110.036111111112</v>
      </c>
      <c r="GD24" t="s">
        <v>590</v>
      </c>
      <c r="GE24" t="s">
        <v>591</v>
      </c>
      <c r="GF24">
        <v>75</v>
      </c>
      <c r="GG24">
        <v>161</v>
      </c>
      <c r="GH24">
        <v>100</v>
      </c>
      <c r="GI24" t="s">
        <v>574</v>
      </c>
      <c r="GJ24">
        <v>247.96</v>
      </c>
      <c r="GL24">
        <v>1887</v>
      </c>
      <c r="GN24" t="s">
        <v>671</v>
      </c>
      <c r="GP24">
        <v>1887</v>
      </c>
      <c r="GR24" t="s">
        <v>671</v>
      </c>
      <c r="GT24">
        <v>1940</v>
      </c>
      <c r="GV24">
        <v>9.8000000000000007</v>
      </c>
      <c r="GX24">
        <v>9.9</v>
      </c>
      <c r="HD24">
        <v>74.75</v>
      </c>
      <c r="HF24">
        <v>75</v>
      </c>
      <c r="HI24" s="2">
        <v>46110</v>
      </c>
      <c r="HJ24" t="s">
        <v>593</v>
      </c>
      <c r="HK24" t="s">
        <v>519</v>
      </c>
      <c r="HM24">
        <v>1</v>
      </c>
      <c r="HN24">
        <v>2</v>
      </c>
      <c r="HV24">
        <v>1</v>
      </c>
      <c r="HW24" t="b">
        <v>0</v>
      </c>
      <c r="IJ24">
        <v>2753</v>
      </c>
      <c r="IK24">
        <v>51</v>
      </c>
      <c r="IL24">
        <v>56</v>
      </c>
      <c r="IM24">
        <v>58</v>
      </c>
      <c r="IN24" t="s">
        <v>594</v>
      </c>
      <c r="IO24" t="s">
        <v>619</v>
      </c>
      <c r="IP24" t="s">
        <v>619</v>
      </c>
      <c r="IT24" t="s">
        <v>822</v>
      </c>
      <c r="IU24" s="1">
        <v>46110.078321759262</v>
      </c>
      <c r="IV24">
        <v>28461</v>
      </c>
      <c r="IW24">
        <v>28461</v>
      </c>
      <c r="IX24">
        <v>28484</v>
      </c>
      <c r="IY24">
        <v>254.05223000000001</v>
      </c>
      <c r="IZ24">
        <v>2.88368</v>
      </c>
      <c r="JA24">
        <v>1.1000000000000001</v>
      </c>
      <c r="JB24">
        <v>0</v>
      </c>
      <c r="JC24">
        <v>1.2846789999999999</v>
      </c>
      <c r="JD24">
        <v>258.22058900000002</v>
      </c>
      <c r="JE24">
        <v>259.32058899999998</v>
      </c>
      <c r="JF24">
        <v>97.968299999999999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74.8</v>
      </c>
      <c r="JM24">
        <v>9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8</v>
      </c>
      <c r="JU24">
        <v>30</v>
      </c>
      <c r="JV24">
        <v>0</v>
      </c>
      <c r="JW24">
        <v>508104.46004999999</v>
      </c>
      <c r="JX24">
        <v>2643</v>
      </c>
      <c r="JY24">
        <v>74.8</v>
      </c>
      <c r="JZ24">
        <v>9.0625</v>
      </c>
      <c r="KA24">
        <v>30</v>
      </c>
      <c r="KB24">
        <v>254.05223000000001</v>
      </c>
      <c r="KC24">
        <v>1.2846789999999999</v>
      </c>
      <c r="KD24">
        <v>2.88368</v>
      </c>
      <c r="KE24">
        <v>5767.3604999999998</v>
      </c>
      <c r="KF24">
        <v>0</v>
      </c>
      <c r="KG24">
        <v>1.1000000000000001</v>
      </c>
      <c r="KH24">
        <v>0</v>
      </c>
      <c r="KI24">
        <v>0</v>
      </c>
      <c r="KJ24" t="s">
        <v>669</v>
      </c>
      <c r="KK24">
        <v>0.28360000000000002</v>
      </c>
      <c r="KL24">
        <v>28461</v>
      </c>
      <c r="KM24">
        <v>108340</v>
      </c>
      <c r="KN24">
        <v>39720</v>
      </c>
      <c r="KP24">
        <v>209140</v>
      </c>
      <c r="KT24">
        <v>101400</v>
      </c>
      <c r="KW24">
        <v>41720</v>
      </c>
      <c r="MD24">
        <v>47300</v>
      </c>
      <c r="MP24">
        <v>110247</v>
      </c>
      <c r="MQ24">
        <v>38586</v>
      </c>
      <c r="MS24">
        <v>169213</v>
      </c>
      <c r="MW24">
        <v>104735</v>
      </c>
      <c r="MZ24">
        <v>44099</v>
      </c>
      <c r="OG24">
        <v>49611</v>
      </c>
      <c r="OT24">
        <v>3763</v>
      </c>
      <c r="PA24">
        <v>578</v>
      </c>
      <c r="PB24">
        <v>4072</v>
      </c>
      <c r="PC24">
        <v>358149</v>
      </c>
      <c r="PD24">
        <v>36270</v>
      </c>
      <c r="PE24">
        <v>8841</v>
      </c>
      <c r="PG24">
        <v>2</v>
      </c>
      <c r="PJ24">
        <v>10776</v>
      </c>
      <c r="PM24">
        <v>15320</v>
      </c>
      <c r="PN24">
        <v>2301</v>
      </c>
      <c r="PS24">
        <v>500</v>
      </c>
      <c r="PT24">
        <v>288</v>
      </c>
      <c r="PW24">
        <v>4785</v>
      </c>
      <c r="PX24">
        <v>1334</v>
      </c>
      <c r="PY24">
        <v>3497</v>
      </c>
      <c r="QD24">
        <v>401</v>
      </c>
      <c r="QE24">
        <v>949</v>
      </c>
      <c r="QG24">
        <v>120</v>
      </c>
      <c r="QI24">
        <v>120</v>
      </c>
      <c r="QK24">
        <v>6</v>
      </c>
      <c r="QM24">
        <v>5</v>
      </c>
      <c r="QS24">
        <v>1397</v>
      </c>
      <c r="QT24">
        <v>599</v>
      </c>
      <c r="QW24">
        <v>180</v>
      </c>
      <c r="QX24">
        <v>350</v>
      </c>
      <c r="QY24">
        <v>499</v>
      </c>
      <c r="SE24" s="1">
        <v>46086.322222222225</v>
      </c>
      <c r="SF24">
        <v>28461</v>
      </c>
      <c r="SG24">
        <v>408772</v>
      </c>
      <c r="SH24">
        <v>20</v>
      </c>
      <c r="SI24" t="s">
        <v>567</v>
      </c>
      <c r="SJ24">
        <v>50</v>
      </c>
      <c r="SK24" s="1">
        <v>46110.084780092591</v>
      </c>
      <c r="SZ24">
        <v>0.216</v>
      </c>
      <c r="TA24">
        <v>1.363</v>
      </c>
      <c r="TB24">
        <v>9.9000000000000008E-3</v>
      </c>
      <c r="TC24">
        <v>2.8999999999999998E-3</v>
      </c>
      <c r="TD24">
        <v>0.187</v>
      </c>
      <c r="TE24">
        <v>0.105</v>
      </c>
      <c r="TF24">
        <v>0.16200000000000001</v>
      </c>
      <c r="TG24">
        <v>0.111</v>
      </c>
      <c r="TH24">
        <v>2.1999999999999999E-2</v>
      </c>
      <c r="TI24">
        <v>3.5000000000000003E-2</v>
      </c>
      <c r="TJ24">
        <v>8.9999999999999993E-3</v>
      </c>
      <c r="TK24">
        <v>4.6533300000000004</v>
      </c>
      <c r="TL24">
        <v>6.5000000000000002E-2</v>
      </c>
      <c r="TM24">
        <v>1.1999999999999999E-3</v>
      </c>
      <c r="TN24">
        <v>2.2000000000000001E-3</v>
      </c>
      <c r="TO24">
        <v>9.9000000000000008E-3</v>
      </c>
      <c r="TP24" t="s">
        <v>569</v>
      </c>
      <c r="TQ24">
        <v>7.4999999999999997E-3</v>
      </c>
      <c r="TR24" t="s">
        <v>570</v>
      </c>
      <c r="TS24" t="s">
        <v>578</v>
      </c>
      <c r="TU24">
        <v>0.314</v>
      </c>
      <c r="TV24">
        <v>7.0000000000000001E-3</v>
      </c>
      <c r="UD24">
        <v>0.51</v>
      </c>
      <c r="UE24">
        <v>0.53849999999999998</v>
      </c>
      <c r="UF24">
        <v>1.32</v>
      </c>
      <c r="UH24">
        <v>2.5999999999999998E-4</v>
      </c>
      <c r="UJ24">
        <v>0.4214</v>
      </c>
      <c r="UK24">
        <v>0.18</v>
      </c>
      <c r="UL24">
        <v>0.38</v>
      </c>
      <c r="UM24">
        <v>7.6100000000000001E-2</v>
      </c>
      <c r="UN24">
        <v>0.4</v>
      </c>
      <c r="UO24">
        <v>3.3433000000000002</v>
      </c>
      <c r="UP24">
        <v>0.95</v>
      </c>
      <c r="UQ24">
        <v>1.06</v>
      </c>
      <c r="UR24" s="1">
        <v>46086.322222222225</v>
      </c>
    </row>
    <row r="25" spans="1:564" x14ac:dyDescent="0.35">
      <c r="A25">
        <v>28468</v>
      </c>
      <c r="B25">
        <v>18506</v>
      </c>
      <c r="C25">
        <v>850</v>
      </c>
      <c r="D25">
        <v>26133</v>
      </c>
      <c r="G25" t="s">
        <v>585</v>
      </c>
      <c r="H25">
        <v>500000</v>
      </c>
      <c r="L25" t="s">
        <v>586</v>
      </c>
      <c r="M25">
        <v>74.8</v>
      </c>
      <c r="N25">
        <v>330</v>
      </c>
      <c r="O25" t="s">
        <v>596</v>
      </c>
      <c r="P25">
        <v>9</v>
      </c>
      <c r="S25" s="1">
        <v>46109.250104166669</v>
      </c>
      <c r="U25">
        <v>78</v>
      </c>
      <c r="W25">
        <v>54</v>
      </c>
      <c r="X25">
        <v>495910</v>
      </c>
      <c r="Y25" s="1">
        <v>46109.341990740744</v>
      </c>
      <c r="AB25">
        <v>99893</v>
      </c>
      <c r="AC25">
        <v>290</v>
      </c>
      <c r="AD25">
        <v>1098</v>
      </c>
      <c r="AE25">
        <v>69800</v>
      </c>
      <c r="AF25">
        <v>0</v>
      </c>
      <c r="AG25">
        <v>0</v>
      </c>
      <c r="AH25">
        <v>2790</v>
      </c>
      <c r="AI25">
        <v>0.11</v>
      </c>
      <c r="AJ25">
        <v>309</v>
      </c>
      <c r="AK25">
        <v>2922</v>
      </c>
      <c r="AL25">
        <v>44</v>
      </c>
      <c r="AM25" t="s">
        <v>775</v>
      </c>
      <c r="AN25" t="s">
        <v>776</v>
      </c>
      <c r="AO25" s="1">
        <v>46109.417685185188</v>
      </c>
      <c r="AP25">
        <v>2</v>
      </c>
      <c r="AS25" s="1">
        <v>46109.346261574072</v>
      </c>
      <c r="AT25" s="1">
        <v>46109.44872685185</v>
      </c>
      <c r="AU25">
        <v>32</v>
      </c>
      <c r="AV25">
        <v>139</v>
      </c>
      <c r="AY25">
        <v>489192</v>
      </c>
      <c r="AZ25">
        <v>477631</v>
      </c>
      <c r="BA25">
        <v>8180</v>
      </c>
      <c r="BB25">
        <v>2955</v>
      </c>
      <c r="BC25">
        <v>2879</v>
      </c>
      <c r="BD25">
        <v>0</v>
      </c>
      <c r="BF25" t="s">
        <v>621</v>
      </c>
      <c r="BG25" s="1">
        <v>46109.449259259258</v>
      </c>
      <c r="BH25" s="1">
        <v>46109.457719907405</v>
      </c>
      <c r="BI25" s="1">
        <v>46109.465208333335</v>
      </c>
      <c r="BJ25" s="1">
        <v>46109.542592592596</v>
      </c>
      <c r="BK25">
        <v>1.1000000000000001</v>
      </c>
      <c r="BM25">
        <v>4121</v>
      </c>
      <c r="BQ25">
        <v>112</v>
      </c>
      <c r="BR25" t="s">
        <v>777</v>
      </c>
      <c r="BT25" s="1">
        <v>46109.460497685184</v>
      </c>
      <c r="BU25" s="1">
        <v>46109.507719907408</v>
      </c>
      <c r="BV25" t="b">
        <v>0</v>
      </c>
      <c r="BX25">
        <v>9</v>
      </c>
      <c r="BY25" t="b">
        <v>0</v>
      </c>
      <c r="CD25">
        <v>0.9</v>
      </c>
      <c r="CF25" s="1">
        <v>46109.335763888892</v>
      </c>
      <c r="CG25" t="b">
        <v>0</v>
      </c>
      <c r="CH25" t="b">
        <v>0</v>
      </c>
      <c r="CI25" t="b">
        <v>0</v>
      </c>
      <c r="CJ25" t="b">
        <v>0</v>
      </c>
      <c r="CK25" t="b">
        <v>0</v>
      </c>
      <c r="CL25" t="b">
        <v>0</v>
      </c>
      <c r="CM25" t="b">
        <v>0</v>
      </c>
      <c r="CN25" t="b">
        <v>0</v>
      </c>
      <c r="CP25">
        <v>6</v>
      </c>
      <c r="CR25">
        <v>2</v>
      </c>
      <c r="CS25">
        <v>2805</v>
      </c>
      <c r="CT25">
        <v>2825</v>
      </c>
      <c r="CU25">
        <v>2825</v>
      </c>
      <c r="CZ25">
        <v>6.86</v>
      </c>
      <c r="DA25">
        <v>6.63</v>
      </c>
      <c r="DB25">
        <v>7.44</v>
      </c>
      <c r="DC25">
        <v>6.48</v>
      </c>
      <c r="DH25">
        <v>4461</v>
      </c>
      <c r="DI25">
        <v>4463</v>
      </c>
      <c r="DJ25">
        <v>415</v>
      </c>
      <c r="DK25">
        <v>416</v>
      </c>
      <c r="DP25">
        <v>4459</v>
      </c>
      <c r="DQ25">
        <v>4452</v>
      </c>
      <c r="DR25">
        <v>418</v>
      </c>
      <c r="DS25">
        <v>416</v>
      </c>
      <c r="DX25">
        <v>4450</v>
      </c>
      <c r="DY25">
        <v>4457</v>
      </c>
      <c r="DZ25">
        <v>417</v>
      </c>
      <c r="EA25">
        <v>415</v>
      </c>
      <c r="EB25" s="1">
        <v>46109.508009259262</v>
      </c>
      <c r="ED25">
        <v>30</v>
      </c>
      <c r="EG25" s="1">
        <v>46109.542592592596</v>
      </c>
      <c r="EJ25" s="1">
        <v>46109.683263888888</v>
      </c>
      <c r="EK25">
        <v>0.06</v>
      </c>
      <c r="EL25">
        <v>591</v>
      </c>
      <c r="EM25">
        <v>2978</v>
      </c>
      <c r="EN25">
        <v>0.04</v>
      </c>
      <c r="EO25">
        <v>928</v>
      </c>
      <c r="EP25">
        <v>3054</v>
      </c>
      <c r="EQ25">
        <v>0</v>
      </c>
      <c r="ER25">
        <v>0</v>
      </c>
      <c r="ES25">
        <v>2955</v>
      </c>
      <c r="ET25">
        <v>7.09</v>
      </c>
      <c r="EU25">
        <v>5</v>
      </c>
      <c r="EV25">
        <v>2957</v>
      </c>
      <c r="EW25">
        <v>0</v>
      </c>
      <c r="EX25">
        <v>0</v>
      </c>
      <c r="EY25">
        <v>2862</v>
      </c>
      <c r="EZ25">
        <v>0</v>
      </c>
      <c r="FA25">
        <v>0</v>
      </c>
      <c r="FB25">
        <v>2895</v>
      </c>
      <c r="FC25">
        <v>6.5</v>
      </c>
      <c r="FG25" t="b">
        <v>1</v>
      </c>
      <c r="FI25" t="s">
        <v>571</v>
      </c>
      <c r="FJ25" t="s">
        <v>778</v>
      </c>
      <c r="FK25">
        <v>114</v>
      </c>
      <c r="FL25" s="1">
        <v>46109.68304398148</v>
      </c>
      <c r="FM25">
        <v>1206</v>
      </c>
      <c r="FN25" t="s">
        <v>587</v>
      </c>
      <c r="FO25" t="s">
        <v>587</v>
      </c>
      <c r="FP25">
        <v>1206</v>
      </c>
      <c r="FQ25" t="s">
        <v>587</v>
      </c>
      <c r="FR25" t="s">
        <v>587</v>
      </c>
      <c r="FS25" t="s">
        <v>588</v>
      </c>
      <c r="FV25" t="s">
        <v>573</v>
      </c>
      <c r="FW25" t="b">
        <v>0</v>
      </c>
      <c r="GA25" t="s">
        <v>779</v>
      </c>
      <c r="GB25">
        <v>18506</v>
      </c>
      <c r="GC25" s="1">
        <v>46109.460497685184</v>
      </c>
      <c r="GD25" t="s">
        <v>590</v>
      </c>
      <c r="GE25" t="s">
        <v>591</v>
      </c>
      <c r="GF25">
        <v>132</v>
      </c>
      <c r="GG25">
        <v>148</v>
      </c>
      <c r="GH25">
        <v>112</v>
      </c>
      <c r="GI25" t="s">
        <v>565</v>
      </c>
      <c r="GJ25">
        <v>247.96</v>
      </c>
      <c r="GL25">
        <v>1841</v>
      </c>
      <c r="GN25" t="s">
        <v>592</v>
      </c>
      <c r="GP25">
        <v>1841</v>
      </c>
      <c r="GR25" t="s">
        <v>592</v>
      </c>
      <c r="GT25">
        <v>1940</v>
      </c>
      <c r="GV25">
        <v>10.1</v>
      </c>
      <c r="GX25">
        <v>8.9</v>
      </c>
      <c r="HD25">
        <v>74.75</v>
      </c>
      <c r="HF25">
        <v>75</v>
      </c>
      <c r="HI25" s="2">
        <v>46109</v>
      </c>
      <c r="HJ25" t="s">
        <v>593</v>
      </c>
      <c r="HK25" t="s">
        <v>537</v>
      </c>
      <c r="HM25">
        <v>1</v>
      </c>
      <c r="HN25">
        <v>2</v>
      </c>
      <c r="HV25">
        <v>1</v>
      </c>
      <c r="HW25" t="b">
        <v>0</v>
      </c>
      <c r="IB25">
        <v>2870</v>
      </c>
      <c r="IJ25">
        <v>2759</v>
      </c>
      <c r="IK25">
        <v>46</v>
      </c>
      <c r="IL25">
        <v>66</v>
      </c>
      <c r="IM25">
        <v>66</v>
      </c>
      <c r="IN25" t="s">
        <v>594</v>
      </c>
      <c r="IO25" t="s">
        <v>619</v>
      </c>
      <c r="IP25" t="s">
        <v>619</v>
      </c>
      <c r="IT25" t="s">
        <v>780</v>
      </c>
      <c r="IU25" s="1">
        <v>46109.465266203704</v>
      </c>
      <c r="IV25">
        <v>28468</v>
      </c>
      <c r="IW25">
        <v>28468</v>
      </c>
      <c r="IX25">
        <v>28473</v>
      </c>
      <c r="IY25">
        <v>254.05223000000001</v>
      </c>
      <c r="IZ25">
        <v>2.88368</v>
      </c>
      <c r="JA25">
        <v>1.1000000000000001</v>
      </c>
      <c r="JB25">
        <v>0</v>
      </c>
      <c r="JC25">
        <v>1.2846789999999999</v>
      </c>
      <c r="JD25">
        <v>258.22058900000002</v>
      </c>
      <c r="JE25">
        <v>259.32058899999998</v>
      </c>
      <c r="JF25">
        <v>97.968299999999999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74.8</v>
      </c>
      <c r="JM25">
        <v>9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8</v>
      </c>
      <c r="JU25">
        <v>30</v>
      </c>
      <c r="JV25">
        <v>0</v>
      </c>
      <c r="JW25">
        <v>508104.46004999999</v>
      </c>
      <c r="JX25">
        <v>2643</v>
      </c>
      <c r="JY25">
        <v>74.8</v>
      </c>
      <c r="JZ25">
        <v>9.0625</v>
      </c>
      <c r="KA25">
        <v>30</v>
      </c>
      <c r="KB25">
        <v>254.05223000000001</v>
      </c>
      <c r="KC25">
        <v>1.2846789999999999</v>
      </c>
      <c r="KD25">
        <v>2.88368</v>
      </c>
      <c r="KE25">
        <v>5767.3604999999998</v>
      </c>
      <c r="KF25">
        <v>0</v>
      </c>
      <c r="KG25">
        <v>1.1000000000000001</v>
      </c>
      <c r="KH25">
        <v>0</v>
      </c>
      <c r="KI25">
        <v>0</v>
      </c>
      <c r="KJ25" t="s">
        <v>587</v>
      </c>
      <c r="KK25">
        <v>0.28360000000000002</v>
      </c>
      <c r="KL25">
        <v>28468</v>
      </c>
      <c r="KM25">
        <v>265160</v>
      </c>
      <c r="KN25">
        <v>51220</v>
      </c>
      <c r="KP25">
        <v>201920</v>
      </c>
      <c r="KX25">
        <v>33920</v>
      </c>
      <c r="LD25">
        <v>49660</v>
      </c>
      <c r="MD25">
        <v>54860</v>
      </c>
      <c r="MP25">
        <v>197964</v>
      </c>
      <c r="MQ25">
        <v>52790</v>
      </c>
      <c r="MS25">
        <v>189752</v>
      </c>
      <c r="NG25">
        <v>52790</v>
      </c>
      <c r="NP25">
        <v>32994</v>
      </c>
      <c r="OG25">
        <v>52790</v>
      </c>
      <c r="PA25">
        <v>589</v>
      </c>
      <c r="PB25">
        <v>4022</v>
      </c>
      <c r="PC25">
        <v>422145</v>
      </c>
      <c r="PD25">
        <v>44402</v>
      </c>
      <c r="PE25">
        <v>9507</v>
      </c>
      <c r="PG25">
        <v>4</v>
      </c>
      <c r="PJ25">
        <v>11973</v>
      </c>
      <c r="PM25">
        <v>15787</v>
      </c>
      <c r="PN25">
        <v>3673</v>
      </c>
      <c r="PV25">
        <v>3247</v>
      </c>
      <c r="PW25">
        <v>5096</v>
      </c>
      <c r="PX25">
        <v>1400</v>
      </c>
      <c r="PY25">
        <v>5396</v>
      </c>
      <c r="QA25">
        <v>147</v>
      </c>
      <c r="QD25">
        <v>400</v>
      </c>
      <c r="QE25">
        <v>949</v>
      </c>
      <c r="QI25">
        <v>400</v>
      </c>
      <c r="QK25">
        <v>8</v>
      </c>
      <c r="QM25">
        <v>11</v>
      </c>
      <c r="QN25">
        <v>324</v>
      </c>
      <c r="QS25">
        <v>28</v>
      </c>
      <c r="QX25">
        <v>388</v>
      </c>
      <c r="SE25" s="1">
        <v>46086.322222222225</v>
      </c>
      <c r="SF25">
        <v>28468</v>
      </c>
      <c r="SG25">
        <v>408543</v>
      </c>
      <c r="SH25">
        <v>20</v>
      </c>
      <c r="SI25" t="s">
        <v>567</v>
      </c>
      <c r="SJ25">
        <v>50</v>
      </c>
      <c r="SK25" s="1">
        <v>46109.508796296293</v>
      </c>
      <c r="SZ25">
        <v>0.185</v>
      </c>
      <c r="TA25">
        <v>1.3180000000000001</v>
      </c>
      <c r="TB25">
        <v>0.01</v>
      </c>
      <c r="TC25">
        <v>3.3999999999999998E-3</v>
      </c>
      <c r="TD25">
        <v>1.9E-2</v>
      </c>
      <c r="TE25">
        <v>7.3999999999999996E-2</v>
      </c>
      <c r="TF25">
        <v>5.2999999999999999E-2</v>
      </c>
      <c r="TG25">
        <v>4.1000000000000002E-2</v>
      </c>
      <c r="TH25">
        <v>5.0000000000000001E-3</v>
      </c>
      <c r="TI25">
        <v>3.3000000000000002E-2</v>
      </c>
      <c r="TJ25">
        <v>6.0000000000000001E-3</v>
      </c>
      <c r="TK25">
        <v>4.2207800000000004</v>
      </c>
      <c r="TL25">
        <v>6.5000000000000002E-2</v>
      </c>
      <c r="TM25">
        <v>4.1700000000000001E-2</v>
      </c>
      <c r="TN25">
        <v>2E-3</v>
      </c>
      <c r="TO25">
        <v>2.0999999999999999E-3</v>
      </c>
      <c r="TP25" t="s">
        <v>569</v>
      </c>
      <c r="TQ25">
        <v>7.7000000000000002E-3</v>
      </c>
      <c r="TR25" t="s">
        <v>570</v>
      </c>
      <c r="TS25" t="s">
        <v>578</v>
      </c>
      <c r="TU25">
        <v>0.26519999999999999</v>
      </c>
      <c r="TV25">
        <v>6.3E-3</v>
      </c>
      <c r="UD25">
        <v>0.44</v>
      </c>
      <c r="UE25">
        <v>0.43980000000000002</v>
      </c>
      <c r="UF25">
        <v>0.27</v>
      </c>
      <c r="UH25">
        <v>2.5000000000000001E-4</v>
      </c>
      <c r="UJ25">
        <v>0.18260000000000001</v>
      </c>
      <c r="UK25">
        <v>0.12</v>
      </c>
      <c r="UL25">
        <v>0.17</v>
      </c>
      <c r="UM25">
        <v>0.10879999999999999</v>
      </c>
      <c r="UN25">
        <v>0.17299999999999999</v>
      </c>
      <c r="UO25">
        <v>2.1391</v>
      </c>
      <c r="UP25">
        <v>1.8</v>
      </c>
      <c r="UQ25">
        <v>0.55000000000000004</v>
      </c>
      <c r="UR25" s="1">
        <v>46086.322222222225</v>
      </c>
    </row>
    <row r="26" spans="1:564" x14ac:dyDescent="0.35">
      <c r="A26">
        <v>28469</v>
      </c>
      <c r="B26">
        <v>18489</v>
      </c>
      <c r="C26">
        <v>850</v>
      </c>
      <c r="D26">
        <v>26130</v>
      </c>
      <c r="G26" t="s">
        <v>614</v>
      </c>
      <c r="H26">
        <v>500000</v>
      </c>
      <c r="L26" t="s">
        <v>586</v>
      </c>
      <c r="M26">
        <v>74.8</v>
      </c>
      <c r="N26">
        <v>308</v>
      </c>
      <c r="O26" t="s">
        <v>596</v>
      </c>
      <c r="P26">
        <v>3</v>
      </c>
      <c r="S26" s="1">
        <v>46107.815648148149</v>
      </c>
      <c r="U26">
        <v>68</v>
      </c>
      <c r="W26">
        <v>9</v>
      </c>
      <c r="X26">
        <v>495910</v>
      </c>
      <c r="Y26" s="1">
        <v>46107.87023148148</v>
      </c>
      <c r="AB26">
        <v>82014</v>
      </c>
      <c r="AC26">
        <v>273</v>
      </c>
      <c r="AD26">
        <v>1081</v>
      </c>
      <c r="AE26">
        <v>207364</v>
      </c>
      <c r="AF26">
        <v>7.0000000000000007E-2</v>
      </c>
      <c r="AG26">
        <v>496</v>
      </c>
      <c r="AH26">
        <v>2948</v>
      </c>
      <c r="AI26">
        <v>0.04</v>
      </c>
      <c r="AJ26">
        <v>874</v>
      </c>
      <c r="AK26">
        <v>3051</v>
      </c>
      <c r="AL26">
        <v>1</v>
      </c>
      <c r="AM26" t="s">
        <v>604</v>
      </c>
      <c r="AO26" s="1">
        <v>46107.871469907404</v>
      </c>
      <c r="AP26">
        <v>1</v>
      </c>
      <c r="AS26" s="1">
        <v>46107.874178240738</v>
      </c>
      <c r="AT26" s="1">
        <v>46107.925821759258</v>
      </c>
      <c r="AU26">
        <v>4</v>
      </c>
      <c r="AV26">
        <v>37</v>
      </c>
      <c r="AY26">
        <v>486720</v>
      </c>
      <c r="AZ26">
        <v>476847</v>
      </c>
      <c r="BA26">
        <v>400</v>
      </c>
      <c r="BB26">
        <v>3013</v>
      </c>
      <c r="BC26">
        <v>2865</v>
      </c>
      <c r="BD26">
        <v>0</v>
      </c>
      <c r="BF26" t="s">
        <v>701</v>
      </c>
      <c r="BG26" s="1">
        <v>46107.926481481481</v>
      </c>
      <c r="BH26" s="1">
        <v>46107.934039351851</v>
      </c>
      <c r="BI26" s="1">
        <v>46107.973055555558</v>
      </c>
      <c r="BJ26" s="1">
        <v>46108.027430555558</v>
      </c>
      <c r="BK26">
        <v>1.1000000000000001</v>
      </c>
      <c r="BM26">
        <v>4117</v>
      </c>
      <c r="BT26" s="1">
        <v>46107.936122685183</v>
      </c>
      <c r="BU26" s="1">
        <v>46107.984039351853</v>
      </c>
      <c r="BV26" t="b">
        <v>0</v>
      </c>
      <c r="BX26">
        <v>1</v>
      </c>
      <c r="BY26" t="b">
        <v>0</v>
      </c>
      <c r="CD26">
        <v>1</v>
      </c>
      <c r="CF26" s="1">
        <v>46107.640289351853</v>
      </c>
      <c r="CG26" t="b">
        <v>0</v>
      </c>
      <c r="CH26" t="b">
        <v>0</v>
      </c>
      <c r="CI26" t="b">
        <v>0</v>
      </c>
      <c r="CJ26" t="b">
        <v>0</v>
      </c>
      <c r="CK26" t="b">
        <v>0</v>
      </c>
      <c r="CL26" t="b">
        <v>0</v>
      </c>
      <c r="CM26" t="b">
        <v>0</v>
      </c>
      <c r="CN26" t="b">
        <v>0</v>
      </c>
      <c r="CP26">
        <v>6</v>
      </c>
      <c r="CR26">
        <v>2</v>
      </c>
      <c r="CS26">
        <v>2789</v>
      </c>
      <c r="CT26">
        <v>2792</v>
      </c>
      <c r="CU26">
        <v>2801</v>
      </c>
      <c r="CZ26">
        <v>6.65</v>
      </c>
      <c r="DA26">
        <v>5.09</v>
      </c>
      <c r="DB26">
        <v>7.82</v>
      </c>
      <c r="DC26">
        <v>7.61</v>
      </c>
      <c r="DH26">
        <v>4465</v>
      </c>
      <c r="DI26">
        <v>4461</v>
      </c>
      <c r="DJ26">
        <v>417</v>
      </c>
      <c r="DK26">
        <v>416</v>
      </c>
      <c r="DP26">
        <v>4456</v>
      </c>
      <c r="DQ26">
        <v>4455</v>
      </c>
      <c r="DR26">
        <v>415</v>
      </c>
      <c r="DS26">
        <v>416</v>
      </c>
      <c r="DX26">
        <v>4446</v>
      </c>
      <c r="DY26">
        <v>4440</v>
      </c>
      <c r="DZ26">
        <v>419</v>
      </c>
      <c r="EA26">
        <v>415</v>
      </c>
      <c r="EB26" s="1">
        <v>46108.002488425926</v>
      </c>
      <c r="EE26">
        <v>65</v>
      </c>
      <c r="EG26" s="1">
        <v>46108.027430555558</v>
      </c>
      <c r="EJ26" s="1">
        <v>46108.350451388891</v>
      </c>
      <c r="EQ26">
        <v>7.27</v>
      </c>
      <c r="ER26">
        <v>5</v>
      </c>
      <c r="ES26">
        <v>3013</v>
      </c>
      <c r="ET26">
        <v>0</v>
      </c>
      <c r="EU26">
        <v>0</v>
      </c>
      <c r="EV26">
        <v>2872</v>
      </c>
      <c r="EW26">
        <v>0</v>
      </c>
      <c r="EX26">
        <v>0</v>
      </c>
      <c r="EY26">
        <v>2876</v>
      </c>
      <c r="EZ26">
        <v>0</v>
      </c>
      <c r="FA26">
        <v>0</v>
      </c>
      <c r="FB26">
        <v>2870</v>
      </c>
      <c r="FC26">
        <v>8.6</v>
      </c>
      <c r="FJ26" t="s">
        <v>702</v>
      </c>
      <c r="FK26">
        <v>97</v>
      </c>
      <c r="FL26" s="1">
        <v>46108.350254629629</v>
      </c>
      <c r="FM26">
        <v>174</v>
      </c>
      <c r="FN26" t="s">
        <v>615</v>
      </c>
      <c r="FO26" t="s">
        <v>615</v>
      </c>
      <c r="FP26">
        <v>174</v>
      </c>
      <c r="FQ26" t="s">
        <v>615</v>
      </c>
      <c r="FR26" t="s">
        <v>615</v>
      </c>
      <c r="FS26" t="s">
        <v>616</v>
      </c>
      <c r="FT26" t="s">
        <v>638</v>
      </c>
      <c r="FV26" t="s">
        <v>573</v>
      </c>
      <c r="FW26" t="b">
        <v>0</v>
      </c>
      <c r="GA26" t="s">
        <v>703</v>
      </c>
      <c r="GB26">
        <v>18489</v>
      </c>
      <c r="GC26" s="1">
        <v>46107.936122685183</v>
      </c>
      <c r="GD26" t="s">
        <v>590</v>
      </c>
      <c r="GE26" t="s">
        <v>617</v>
      </c>
      <c r="GF26">
        <v>79</v>
      </c>
      <c r="GG26">
        <v>75</v>
      </c>
      <c r="GH26">
        <v>78</v>
      </c>
      <c r="GI26" t="s">
        <v>574</v>
      </c>
      <c r="GJ26">
        <v>247.96</v>
      </c>
      <c r="GL26">
        <v>2378</v>
      </c>
      <c r="GN26" t="s">
        <v>618</v>
      </c>
      <c r="GP26">
        <v>2378</v>
      </c>
      <c r="GR26" t="s">
        <v>618</v>
      </c>
      <c r="GT26">
        <v>1937</v>
      </c>
      <c r="GV26">
        <v>10.9</v>
      </c>
      <c r="GX26">
        <v>10.199999999999999</v>
      </c>
      <c r="GZ26">
        <v>9.1999999999999993</v>
      </c>
      <c r="HB26">
        <v>9.1999999999999993</v>
      </c>
      <c r="HD26">
        <v>74.75</v>
      </c>
      <c r="HF26">
        <v>75</v>
      </c>
      <c r="HI26" s="2">
        <v>46107</v>
      </c>
      <c r="HJ26" t="s">
        <v>575</v>
      </c>
      <c r="HK26" t="s">
        <v>576</v>
      </c>
      <c r="HM26">
        <v>5</v>
      </c>
      <c r="HN26">
        <v>2</v>
      </c>
      <c r="HV26">
        <v>1</v>
      </c>
      <c r="HW26" t="b">
        <v>1</v>
      </c>
      <c r="HX26" s="1">
        <v>46107.991689814815</v>
      </c>
      <c r="HY26" t="b">
        <v>0</v>
      </c>
      <c r="IB26">
        <v>2855</v>
      </c>
      <c r="IE26" t="s">
        <v>704</v>
      </c>
      <c r="II26">
        <v>1</v>
      </c>
      <c r="IJ26">
        <v>2760</v>
      </c>
      <c r="IK26">
        <v>29</v>
      </c>
      <c r="IL26">
        <v>32</v>
      </c>
      <c r="IM26">
        <v>41</v>
      </c>
      <c r="IN26" t="s">
        <v>594</v>
      </c>
      <c r="IO26" t="s">
        <v>619</v>
      </c>
      <c r="IP26" t="s">
        <v>619</v>
      </c>
      <c r="IR26">
        <v>8</v>
      </c>
      <c r="IT26" t="s">
        <v>620</v>
      </c>
      <c r="IU26" s="1">
        <v>46108.027337962965</v>
      </c>
      <c r="IV26">
        <v>28469</v>
      </c>
      <c r="IW26">
        <v>28443</v>
      </c>
      <c r="IX26">
        <v>28469</v>
      </c>
      <c r="IY26">
        <v>236.846271</v>
      </c>
      <c r="IZ26">
        <v>6.2048839999999998</v>
      </c>
      <c r="JA26">
        <v>1.1000000000000001</v>
      </c>
      <c r="JB26">
        <v>0</v>
      </c>
      <c r="JC26">
        <v>1.215255</v>
      </c>
      <c r="JD26">
        <v>244.26641000000001</v>
      </c>
      <c r="JE26">
        <v>245.36641</v>
      </c>
      <c r="JF26">
        <v>96.527500000000003</v>
      </c>
      <c r="JG26">
        <v>0</v>
      </c>
      <c r="JH26">
        <v>0</v>
      </c>
      <c r="JI26">
        <v>65</v>
      </c>
      <c r="JJ26">
        <v>0</v>
      </c>
      <c r="JK26">
        <v>0</v>
      </c>
      <c r="JL26">
        <v>74.8</v>
      </c>
      <c r="JM26">
        <v>9</v>
      </c>
      <c r="JN26">
        <v>65</v>
      </c>
      <c r="JO26">
        <v>0</v>
      </c>
      <c r="JP26">
        <v>3.1023999999999999E-2</v>
      </c>
      <c r="JQ26">
        <v>6.2048839999999998</v>
      </c>
      <c r="JR26">
        <v>0</v>
      </c>
      <c r="JS26">
        <v>12409.7688</v>
      </c>
      <c r="JT26">
        <v>8</v>
      </c>
      <c r="JU26">
        <v>0</v>
      </c>
      <c r="JV26">
        <v>0</v>
      </c>
      <c r="JW26">
        <v>473692.54239999998</v>
      </c>
      <c r="JX26">
        <v>2464</v>
      </c>
      <c r="JY26">
        <v>74.8</v>
      </c>
      <c r="JZ26">
        <v>9.0625</v>
      </c>
      <c r="KA26">
        <v>0</v>
      </c>
      <c r="KB26">
        <v>236.846271</v>
      </c>
      <c r="KC26">
        <v>1.184231</v>
      </c>
      <c r="KD26">
        <v>0</v>
      </c>
      <c r="KE26">
        <v>0</v>
      </c>
      <c r="KF26">
        <v>0</v>
      </c>
      <c r="KG26">
        <v>1.1000000000000001</v>
      </c>
      <c r="KH26">
        <v>0</v>
      </c>
      <c r="KI26">
        <v>0</v>
      </c>
      <c r="KJ26" t="s">
        <v>615</v>
      </c>
      <c r="KK26">
        <v>0.28360000000000002</v>
      </c>
      <c r="KL26">
        <v>28469</v>
      </c>
      <c r="KM26">
        <v>175680</v>
      </c>
      <c r="KN26">
        <v>49420</v>
      </c>
      <c r="KP26">
        <v>137500</v>
      </c>
      <c r="KX26">
        <v>45760</v>
      </c>
      <c r="LD26">
        <v>47000</v>
      </c>
      <c r="MD26">
        <v>46660</v>
      </c>
      <c r="MP26">
        <v>187420</v>
      </c>
      <c r="MQ26">
        <v>44099</v>
      </c>
      <c r="MS26">
        <v>132297</v>
      </c>
      <c r="MZ26">
        <v>44099</v>
      </c>
      <c r="NA26">
        <v>44099</v>
      </c>
      <c r="OG26">
        <v>17300</v>
      </c>
      <c r="OT26">
        <v>3934</v>
      </c>
      <c r="PA26">
        <v>737</v>
      </c>
      <c r="PB26">
        <v>3905</v>
      </c>
      <c r="PC26">
        <v>377857</v>
      </c>
      <c r="PD26">
        <v>39548</v>
      </c>
      <c r="PE26">
        <v>9683</v>
      </c>
      <c r="PG26">
        <v>2</v>
      </c>
      <c r="PJ26">
        <v>17570</v>
      </c>
      <c r="PM26">
        <v>15412</v>
      </c>
      <c r="PN26">
        <v>2079</v>
      </c>
      <c r="PV26">
        <v>585</v>
      </c>
      <c r="PW26">
        <v>5146</v>
      </c>
      <c r="PX26">
        <v>953</v>
      </c>
      <c r="PY26">
        <v>3497</v>
      </c>
      <c r="QD26">
        <v>100</v>
      </c>
      <c r="QE26">
        <v>849</v>
      </c>
      <c r="QK26">
        <v>5</v>
      </c>
      <c r="QM26">
        <v>8</v>
      </c>
      <c r="QS26">
        <v>850</v>
      </c>
      <c r="QX26">
        <v>375</v>
      </c>
      <c r="SE26" s="1">
        <v>46086.322222222225</v>
      </c>
      <c r="SF26">
        <v>28469</v>
      </c>
      <c r="SG26">
        <v>408122</v>
      </c>
      <c r="SH26">
        <v>20</v>
      </c>
      <c r="SI26" t="s">
        <v>567</v>
      </c>
      <c r="SJ26">
        <v>50</v>
      </c>
      <c r="SK26" s="1">
        <v>46107.97378472222</v>
      </c>
      <c r="SZ26">
        <v>0.13900000000000001</v>
      </c>
      <c r="TA26">
        <v>1.3540000000000001</v>
      </c>
      <c r="TB26">
        <v>1.0500000000000001E-2</v>
      </c>
      <c r="TC26">
        <v>2E-3</v>
      </c>
      <c r="TD26">
        <v>0.22600000000000001</v>
      </c>
      <c r="TE26">
        <v>0.112</v>
      </c>
      <c r="TF26">
        <v>5.3999999999999999E-2</v>
      </c>
      <c r="TG26">
        <v>0.10299999999999999</v>
      </c>
      <c r="TH26">
        <v>0.01</v>
      </c>
      <c r="TI26">
        <v>4.7E-2</v>
      </c>
      <c r="TJ26">
        <v>8.0000000000000002E-3</v>
      </c>
      <c r="TK26">
        <v>6.4657499999999999</v>
      </c>
      <c r="TL26">
        <v>6.4000000000000001E-2</v>
      </c>
      <c r="TM26">
        <v>1.1999999999999999E-3</v>
      </c>
      <c r="TN26">
        <v>2.2000000000000001E-3</v>
      </c>
      <c r="TO26">
        <v>7.7000000000000002E-3</v>
      </c>
      <c r="TP26" t="s">
        <v>569</v>
      </c>
      <c r="TQ26">
        <v>7.3000000000000001E-3</v>
      </c>
      <c r="TR26" t="s">
        <v>570</v>
      </c>
      <c r="TS26" t="s">
        <v>578</v>
      </c>
      <c r="TU26">
        <v>0.23139999999999999</v>
      </c>
      <c r="TV26">
        <v>7.4999999999999997E-3</v>
      </c>
      <c r="UD26">
        <v>0.4</v>
      </c>
      <c r="UE26">
        <v>0.44190000000000002</v>
      </c>
      <c r="UF26">
        <v>1.05</v>
      </c>
      <c r="UH26">
        <v>3.4000000000000002E-4</v>
      </c>
      <c r="UJ26">
        <v>0.29680000000000001</v>
      </c>
      <c r="UK26">
        <v>0.17</v>
      </c>
      <c r="UL26">
        <v>0.27</v>
      </c>
      <c r="UM26">
        <v>7.2900000000000006E-2</v>
      </c>
      <c r="UN26">
        <v>0.27900000000000003</v>
      </c>
      <c r="UO26">
        <v>3.3834</v>
      </c>
      <c r="UP26">
        <v>1.0900000000000001</v>
      </c>
      <c r="UQ26">
        <v>0.92</v>
      </c>
      <c r="UR26" s="1">
        <v>46086.322222222225</v>
      </c>
    </row>
    <row r="27" spans="1:564" x14ac:dyDescent="0.35">
      <c r="A27">
        <v>28470</v>
      </c>
      <c r="B27">
        <v>18505</v>
      </c>
      <c r="C27">
        <v>850</v>
      </c>
      <c r="D27">
        <v>26132</v>
      </c>
      <c r="G27" t="s">
        <v>595</v>
      </c>
      <c r="H27">
        <v>500000</v>
      </c>
      <c r="L27" t="s">
        <v>586</v>
      </c>
      <c r="M27">
        <v>74.8</v>
      </c>
      <c r="N27">
        <v>330</v>
      </c>
      <c r="O27" t="s">
        <v>596</v>
      </c>
      <c r="P27">
        <v>8</v>
      </c>
      <c r="S27" s="1">
        <v>46109.196157407408</v>
      </c>
      <c r="U27">
        <v>59</v>
      </c>
      <c r="W27">
        <v>17</v>
      </c>
      <c r="X27">
        <v>495910</v>
      </c>
      <c r="Y27" s="1">
        <v>46109.250104166669</v>
      </c>
      <c r="AB27">
        <v>75626</v>
      </c>
      <c r="AC27">
        <v>289</v>
      </c>
      <c r="AD27">
        <v>1097</v>
      </c>
      <c r="AE27">
        <v>142373</v>
      </c>
      <c r="AF27">
        <v>0</v>
      </c>
      <c r="AG27">
        <v>0</v>
      </c>
      <c r="AH27">
        <v>2788</v>
      </c>
      <c r="AI27">
        <v>7.0000000000000007E-2</v>
      </c>
      <c r="AJ27">
        <v>498</v>
      </c>
      <c r="AK27">
        <v>2982</v>
      </c>
      <c r="AL27">
        <v>7</v>
      </c>
      <c r="AM27" t="s">
        <v>766</v>
      </c>
      <c r="AO27" s="1">
        <v>46109.251469907409</v>
      </c>
      <c r="AP27">
        <v>1</v>
      </c>
      <c r="AS27" s="1">
        <v>46109.255972222221</v>
      </c>
      <c r="AT27" s="1">
        <v>46109.324236111112</v>
      </c>
      <c r="AU27">
        <v>21</v>
      </c>
      <c r="AV27">
        <v>76</v>
      </c>
      <c r="AY27">
        <v>501459</v>
      </c>
      <c r="AZ27">
        <v>489995</v>
      </c>
      <c r="BA27">
        <v>235410</v>
      </c>
      <c r="BB27">
        <v>2943</v>
      </c>
      <c r="BC27">
        <v>2856</v>
      </c>
      <c r="BD27">
        <v>0</v>
      </c>
      <c r="BF27" t="s">
        <v>621</v>
      </c>
      <c r="BG27" s="1">
        <v>46109.325254629628</v>
      </c>
      <c r="BH27" s="1">
        <v>46109.33090277778</v>
      </c>
      <c r="BI27" s="1">
        <v>46109.363009259258</v>
      </c>
      <c r="BJ27" s="1">
        <v>46109.400335648148</v>
      </c>
      <c r="BK27">
        <v>1.1000000000000001</v>
      </c>
      <c r="BL27">
        <v>6</v>
      </c>
      <c r="BM27">
        <v>4120</v>
      </c>
      <c r="BS27" t="s">
        <v>767</v>
      </c>
      <c r="BT27" s="1">
        <v>46109.332291666666</v>
      </c>
      <c r="BU27" s="1">
        <v>46109.372569444444</v>
      </c>
      <c r="BV27" t="b">
        <v>0</v>
      </c>
      <c r="BX27">
        <v>7</v>
      </c>
      <c r="BY27" t="b">
        <v>0</v>
      </c>
      <c r="CD27">
        <v>1.1000000000000001</v>
      </c>
      <c r="CF27" s="1">
        <v>46109.083333333336</v>
      </c>
      <c r="CG27" t="b">
        <v>0</v>
      </c>
      <c r="CH27" t="b">
        <v>0</v>
      </c>
      <c r="CI27" t="b">
        <v>0</v>
      </c>
      <c r="CJ27" t="b">
        <v>0</v>
      </c>
      <c r="CK27" t="b">
        <v>0</v>
      </c>
      <c r="CL27" t="b">
        <v>0</v>
      </c>
      <c r="CM27" t="b">
        <v>0</v>
      </c>
      <c r="CN27" t="b">
        <v>0</v>
      </c>
      <c r="CP27">
        <v>6</v>
      </c>
      <c r="CR27">
        <v>2</v>
      </c>
      <c r="CS27">
        <v>2796</v>
      </c>
      <c r="CT27">
        <v>2803</v>
      </c>
      <c r="CU27">
        <v>2803</v>
      </c>
      <c r="CZ27">
        <v>5.72</v>
      </c>
      <c r="DA27">
        <v>5.81</v>
      </c>
      <c r="DB27">
        <v>8.7200000000000006</v>
      </c>
      <c r="DC27">
        <v>7.99</v>
      </c>
      <c r="DH27">
        <v>4421</v>
      </c>
      <c r="DI27">
        <v>4438</v>
      </c>
      <c r="DJ27">
        <v>418</v>
      </c>
      <c r="DK27">
        <v>415</v>
      </c>
      <c r="DP27">
        <v>4457</v>
      </c>
      <c r="DQ27">
        <v>4459</v>
      </c>
      <c r="DR27">
        <v>415</v>
      </c>
      <c r="DS27">
        <v>417</v>
      </c>
      <c r="DX27">
        <v>4435</v>
      </c>
      <c r="DY27">
        <v>4431</v>
      </c>
      <c r="DZ27">
        <v>415</v>
      </c>
      <c r="EA27">
        <v>416</v>
      </c>
      <c r="EB27" s="1">
        <v>46109.385185185187</v>
      </c>
      <c r="EF27">
        <v>116</v>
      </c>
      <c r="EG27" s="1">
        <v>46109.400335648148</v>
      </c>
      <c r="EJ27" s="1">
        <v>46109.681956018518</v>
      </c>
      <c r="EK27">
        <v>0.04</v>
      </c>
      <c r="EL27">
        <v>847</v>
      </c>
      <c r="EM27">
        <v>3038</v>
      </c>
      <c r="EQ27">
        <v>3.52</v>
      </c>
      <c r="ER27">
        <v>10</v>
      </c>
      <c r="ES27">
        <v>2943</v>
      </c>
      <c r="ET27">
        <v>0</v>
      </c>
      <c r="EU27">
        <v>0</v>
      </c>
      <c r="EV27">
        <v>2886</v>
      </c>
      <c r="EW27">
        <v>0</v>
      </c>
      <c r="EX27">
        <v>0</v>
      </c>
      <c r="EY27">
        <v>2892</v>
      </c>
      <c r="EZ27">
        <v>0</v>
      </c>
      <c r="FA27">
        <v>0</v>
      </c>
      <c r="FB27">
        <v>2876</v>
      </c>
      <c r="FC27">
        <v>7.6</v>
      </c>
      <c r="FJ27" t="s">
        <v>768</v>
      </c>
      <c r="FK27">
        <v>97</v>
      </c>
      <c r="FL27" s="1">
        <v>46109.681747685187</v>
      </c>
      <c r="FM27">
        <v>158</v>
      </c>
      <c r="FN27" t="s">
        <v>597</v>
      </c>
      <c r="FO27" t="s">
        <v>597</v>
      </c>
      <c r="FP27">
        <v>158</v>
      </c>
      <c r="FQ27" t="s">
        <v>597</v>
      </c>
      <c r="FR27" t="s">
        <v>598</v>
      </c>
      <c r="FS27" t="s">
        <v>599</v>
      </c>
      <c r="FT27" t="s">
        <v>572</v>
      </c>
      <c r="FV27" t="s">
        <v>573</v>
      </c>
      <c r="FW27" t="b">
        <v>0</v>
      </c>
      <c r="GA27" t="s">
        <v>769</v>
      </c>
      <c r="GB27">
        <v>18505</v>
      </c>
      <c r="GC27" s="1">
        <v>46109.332291666666</v>
      </c>
      <c r="GD27" t="s">
        <v>590</v>
      </c>
      <c r="GE27" t="s">
        <v>591</v>
      </c>
      <c r="GF27">
        <v>78</v>
      </c>
      <c r="GG27">
        <v>98</v>
      </c>
      <c r="GH27">
        <v>54</v>
      </c>
      <c r="GI27" t="s">
        <v>574</v>
      </c>
      <c r="GJ27">
        <v>247.96</v>
      </c>
      <c r="GL27">
        <v>63</v>
      </c>
      <c r="GN27" t="s">
        <v>600</v>
      </c>
      <c r="GP27">
        <v>63</v>
      </c>
      <c r="GR27" t="s">
        <v>600</v>
      </c>
      <c r="GT27">
        <v>1940</v>
      </c>
      <c r="GV27">
        <v>10.1</v>
      </c>
      <c r="GX27">
        <v>9</v>
      </c>
      <c r="GZ27">
        <v>8.5</v>
      </c>
      <c r="HB27">
        <v>8.1</v>
      </c>
      <c r="HD27">
        <v>74.75</v>
      </c>
      <c r="HF27">
        <v>75</v>
      </c>
      <c r="HI27" s="2">
        <v>46109</v>
      </c>
      <c r="HJ27" t="s">
        <v>728</v>
      </c>
      <c r="HK27" t="s">
        <v>537</v>
      </c>
      <c r="HM27">
        <v>4</v>
      </c>
      <c r="HN27">
        <v>1</v>
      </c>
      <c r="HV27">
        <v>1</v>
      </c>
      <c r="HW27" t="b">
        <v>1</v>
      </c>
      <c r="HX27" s="1">
        <v>46109.382696759261</v>
      </c>
      <c r="HY27" t="b">
        <v>0</v>
      </c>
      <c r="IB27">
        <v>2855</v>
      </c>
      <c r="IJ27">
        <v>2756</v>
      </c>
      <c r="IK27">
        <v>40</v>
      </c>
      <c r="IL27">
        <v>47</v>
      </c>
      <c r="IM27">
        <v>47</v>
      </c>
      <c r="IO27" t="s">
        <v>601</v>
      </c>
      <c r="IP27" t="s">
        <v>601</v>
      </c>
      <c r="IQ27" t="s">
        <v>566</v>
      </c>
      <c r="IR27">
        <v>3</v>
      </c>
      <c r="IT27" t="s">
        <v>612</v>
      </c>
      <c r="IU27" s="1">
        <v>46109.398101851853</v>
      </c>
      <c r="IV27">
        <v>28470</v>
      </c>
      <c r="IW27">
        <v>28343</v>
      </c>
      <c r="IX27">
        <v>28470</v>
      </c>
      <c r="IY27">
        <v>223.23077699999999</v>
      </c>
      <c r="IZ27">
        <v>11.209857</v>
      </c>
      <c r="JA27">
        <v>7.1</v>
      </c>
      <c r="JB27">
        <v>0</v>
      </c>
      <c r="JC27">
        <v>1.1722030000000001</v>
      </c>
      <c r="JD27">
        <v>235.61283700000001</v>
      </c>
      <c r="JE27">
        <v>242.71283700000001</v>
      </c>
      <c r="JF27">
        <v>91.973200000000006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74.8</v>
      </c>
      <c r="JM27">
        <v>9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7</v>
      </c>
      <c r="JU27">
        <v>0</v>
      </c>
      <c r="JV27">
        <v>116</v>
      </c>
      <c r="JW27">
        <v>446461.554</v>
      </c>
      <c r="JX27">
        <v>2310</v>
      </c>
      <c r="JY27">
        <v>75.2</v>
      </c>
      <c r="JZ27">
        <v>9.0625</v>
      </c>
      <c r="KA27">
        <v>116</v>
      </c>
      <c r="KB27">
        <v>223.23077699999999</v>
      </c>
      <c r="KC27">
        <v>1.1722030000000001</v>
      </c>
      <c r="KD27">
        <v>11.209857</v>
      </c>
      <c r="KE27">
        <v>0</v>
      </c>
      <c r="KF27">
        <v>22419.714400000001</v>
      </c>
      <c r="KG27">
        <v>1.1000000000000001</v>
      </c>
      <c r="KH27">
        <v>6</v>
      </c>
      <c r="KI27">
        <v>0</v>
      </c>
      <c r="KJ27" t="s">
        <v>597</v>
      </c>
      <c r="KK27">
        <v>0.28360000000000002</v>
      </c>
      <c r="KL27">
        <v>28470</v>
      </c>
      <c r="KM27">
        <v>153120</v>
      </c>
      <c r="KN27">
        <v>37820</v>
      </c>
      <c r="KP27">
        <v>155900</v>
      </c>
      <c r="KX27">
        <v>37660</v>
      </c>
      <c r="LD27">
        <v>35320</v>
      </c>
      <c r="MD27">
        <v>37020</v>
      </c>
      <c r="MP27">
        <v>156398</v>
      </c>
      <c r="MQ27">
        <v>36799</v>
      </c>
      <c r="MS27">
        <v>149117</v>
      </c>
      <c r="MZ27">
        <v>36799</v>
      </c>
      <c r="NA27">
        <v>36799</v>
      </c>
      <c r="OG27">
        <v>36799</v>
      </c>
      <c r="OT27">
        <v>3664</v>
      </c>
      <c r="PA27">
        <v>661</v>
      </c>
      <c r="PB27">
        <v>4108</v>
      </c>
      <c r="PC27">
        <v>349184</v>
      </c>
      <c r="PD27">
        <v>38456</v>
      </c>
      <c r="PE27">
        <v>7392</v>
      </c>
      <c r="PG27">
        <v>3</v>
      </c>
      <c r="PJ27">
        <v>14074</v>
      </c>
      <c r="PM27">
        <v>12633</v>
      </c>
      <c r="PN27">
        <v>1293</v>
      </c>
      <c r="PV27">
        <v>1924</v>
      </c>
      <c r="PW27">
        <v>6530</v>
      </c>
      <c r="PX27">
        <v>953</v>
      </c>
      <c r="PY27">
        <v>2894</v>
      </c>
      <c r="QD27">
        <v>566</v>
      </c>
      <c r="QE27">
        <v>849</v>
      </c>
      <c r="QK27">
        <v>5</v>
      </c>
      <c r="QM27">
        <v>8</v>
      </c>
      <c r="QS27">
        <v>947</v>
      </c>
      <c r="QW27">
        <v>225</v>
      </c>
      <c r="QY27">
        <v>649</v>
      </c>
      <c r="SE27" s="1">
        <v>46086.322222222225</v>
      </c>
      <c r="SF27">
        <v>28470</v>
      </c>
      <c r="SG27">
        <v>408497</v>
      </c>
      <c r="SH27">
        <v>20</v>
      </c>
      <c r="SI27" t="s">
        <v>567</v>
      </c>
      <c r="SJ27">
        <v>50</v>
      </c>
      <c r="SK27" s="1">
        <v>46109.363425925927</v>
      </c>
      <c r="SZ27">
        <v>0.21099999999999999</v>
      </c>
      <c r="TA27">
        <v>1.149</v>
      </c>
      <c r="TB27">
        <v>1.03E-2</v>
      </c>
      <c r="TC27" t="s">
        <v>568</v>
      </c>
      <c r="TD27">
        <v>0.19</v>
      </c>
      <c r="TE27">
        <v>0.121</v>
      </c>
      <c r="TF27">
        <v>5.3999999999999999E-2</v>
      </c>
      <c r="TG27">
        <v>0.10299999999999999</v>
      </c>
      <c r="TH27">
        <v>7.0000000000000001E-3</v>
      </c>
      <c r="TI27">
        <v>3.5000000000000003E-2</v>
      </c>
      <c r="TJ27">
        <v>7.0000000000000001E-3</v>
      </c>
      <c r="TK27">
        <v>3.67021</v>
      </c>
      <c r="TL27">
        <v>4.0000000000000001E-3</v>
      </c>
      <c r="TM27" t="s">
        <v>568</v>
      </c>
      <c r="TN27">
        <v>1.9E-3</v>
      </c>
      <c r="TO27">
        <v>1.4E-3</v>
      </c>
      <c r="TP27" t="s">
        <v>569</v>
      </c>
      <c r="TQ27">
        <v>9.4000000000000004E-3</v>
      </c>
      <c r="TR27" t="s">
        <v>570</v>
      </c>
      <c r="TS27" t="s">
        <v>578</v>
      </c>
      <c r="TU27">
        <v>0.2863</v>
      </c>
      <c r="TV27">
        <v>6.7000000000000002E-3</v>
      </c>
      <c r="UD27">
        <v>0.43</v>
      </c>
      <c r="UE27">
        <v>0.46229999999999999</v>
      </c>
      <c r="UF27">
        <v>0.15</v>
      </c>
      <c r="UH27">
        <v>3.2000000000000003E-4</v>
      </c>
      <c r="UJ27">
        <v>0.2954</v>
      </c>
      <c r="UK27">
        <v>0.18</v>
      </c>
      <c r="UL27">
        <v>0.28000000000000003</v>
      </c>
      <c r="UM27">
        <v>6.1999999999999998E-3</v>
      </c>
      <c r="UN27">
        <v>0.28499999999999998</v>
      </c>
      <c r="UO27">
        <v>3.4834000000000001</v>
      </c>
      <c r="UP27">
        <v>1.17</v>
      </c>
      <c r="UQ27">
        <v>0.85</v>
      </c>
      <c r="UR27" s="1">
        <v>46086.322222222225</v>
      </c>
    </row>
    <row r="28" spans="1:564" x14ac:dyDescent="0.35">
      <c r="A28">
        <v>28471</v>
      </c>
      <c r="B28">
        <v>18507</v>
      </c>
      <c r="C28">
        <v>850</v>
      </c>
      <c r="D28">
        <v>26133</v>
      </c>
      <c r="G28" t="s">
        <v>585</v>
      </c>
      <c r="H28">
        <v>500000</v>
      </c>
      <c r="L28" t="s">
        <v>586</v>
      </c>
      <c r="M28">
        <v>74.8</v>
      </c>
      <c r="N28">
        <v>330</v>
      </c>
      <c r="O28" t="s">
        <v>596</v>
      </c>
      <c r="P28">
        <v>10</v>
      </c>
      <c r="S28" s="1">
        <v>46109.341990740744</v>
      </c>
      <c r="U28">
        <v>76</v>
      </c>
      <c r="W28">
        <v>10</v>
      </c>
      <c r="X28">
        <v>495910</v>
      </c>
      <c r="Y28" s="1">
        <v>46109.402650462966</v>
      </c>
      <c r="AB28">
        <v>92457</v>
      </c>
      <c r="AC28">
        <v>291</v>
      </c>
      <c r="AD28">
        <v>1099</v>
      </c>
      <c r="AE28">
        <v>115388</v>
      </c>
      <c r="AF28">
        <v>0.21</v>
      </c>
      <c r="AG28">
        <v>162</v>
      </c>
      <c r="AH28">
        <v>2870</v>
      </c>
      <c r="AI28">
        <v>0.02</v>
      </c>
      <c r="AJ28">
        <v>1739</v>
      </c>
      <c r="AK28">
        <v>2968</v>
      </c>
      <c r="AL28">
        <v>2</v>
      </c>
      <c r="AM28" t="s">
        <v>784</v>
      </c>
      <c r="AO28" s="1">
        <v>46109.403958333336</v>
      </c>
      <c r="AP28">
        <v>1</v>
      </c>
      <c r="AS28" s="1">
        <v>46109.408796296295</v>
      </c>
      <c r="AT28" s="1">
        <v>46109.496574074074</v>
      </c>
      <c r="AU28">
        <v>25</v>
      </c>
      <c r="AV28">
        <v>112</v>
      </c>
      <c r="AY28">
        <v>490630</v>
      </c>
      <c r="AZ28">
        <v>479995</v>
      </c>
      <c r="BA28">
        <v>242960</v>
      </c>
      <c r="BB28">
        <v>2946</v>
      </c>
      <c r="BC28">
        <v>2859</v>
      </c>
      <c r="BD28">
        <v>0</v>
      </c>
      <c r="BG28" s="1">
        <v>46109.497881944444</v>
      </c>
      <c r="BH28" s="1">
        <v>46109.505601851852</v>
      </c>
      <c r="BI28" s="1">
        <v>46109.542604166665</v>
      </c>
      <c r="BJ28" s="1">
        <v>46109.601631944446</v>
      </c>
      <c r="BK28">
        <v>1.1000000000000001</v>
      </c>
      <c r="BM28">
        <v>4121</v>
      </c>
      <c r="BT28" s="1">
        <v>46109.509074074071</v>
      </c>
      <c r="BU28" s="1">
        <v>46109.561157407406</v>
      </c>
      <c r="BV28" t="b">
        <v>0</v>
      </c>
      <c r="BX28">
        <v>9</v>
      </c>
      <c r="BY28" t="b">
        <v>0</v>
      </c>
      <c r="CD28">
        <v>0.9</v>
      </c>
      <c r="CF28" s="1">
        <v>46109.335497685184</v>
      </c>
      <c r="CG28" t="b">
        <v>0</v>
      </c>
      <c r="CH28" t="b">
        <v>0</v>
      </c>
      <c r="CI28" t="b">
        <v>0</v>
      </c>
      <c r="CJ28" t="b">
        <v>0</v>
      </c>
      <c r="CK28" t="b">
        <v>0</v>
      </c>
      <c r="CL28" t="b">
        <v>0</v>
      </c>
      <c r="CM28" t="b">
        <v>0</v>
      </c>
      <c r="CN28" t="b">
        <v>0</v>
      </c>
      <c r="CP28">
        <v>6</v>
      </c>
      <c r="CR28">
        <v>2</v>
      </c>
      <c r="CS28">
        <v>2821</v>
      </c>
      <c r="CT28">
        <v>2807</v>
      </c>
      <c r="CU28">
        <v>2808</v>
      </c>
      <c r="CZ28">
        <v>6.33</v>
      </c>
      <c r="DA28">
        <v>6.13</v>
      </c>
      <c r="DB28">
        <v>8.36</v>
      </c>
      <c r="DC28">
        <v>7.18</v>
      </c>
      <c r="DH28">
        <v>4423</v>
      </c>
      <c r="DI28">
        <v>4443</v>
      </c>
      <c r="DJ28">
        <v>415</v>
      </c>
      <c r="DK28">
        <v>415</v>
      </c>
      <c r="DP28">
        <v>4454</v>
      </c>
      <c r="DQ28">
        <v>4457</v>
      </c>
      <c r="DR28">
        <v>419</v>
      </c>
      <c r="DS28">
        <v>416</v>
      </c>
      <c r="DX28">
        <v>4435</v>
      </c>
      <c r="DY28">
        <v>4447</v>
      </c>
      <c r="DZ28">
        <v>416</v>
      </c>
      <c r="EA28">
        <v>416</v>
      </c>
      <c r="EB28" s="1">
        <v>46109.561805555553</v>
      </c>
      <c r="EG28" s="1">
        <v>46109.601631944446</v>
      </c>
      <c r="EJ28" s="1">
        <v>46109.685810185183</v>
      </c>
      <c r="EK28">
        <v>0.09</v>
      </c>
      <c r="EL28">
        <v>407</v>
      </c>
      <c r="EM28">
        <v>2942</v>
      </c>
      <c r="EN28">
        <v>0.05</v>
      </c>
      <c r="EO28">
        <v>744</v>
      </c>
      <c r="EP28">
        <v>2993</v>
      </c>
      <c r="EQ28">
        <v>0.32</v>
      </c>
      <c r="ER28">
        <v>110</v>
      </c>
      <c r="ES28">
        <v>2946</v>
      </c>
      <c r="ET28">
        <v>0</v>
      </c>
      <c r="EU28">
        <v>0</v>
      </c>
      <c r="EV28">
        <v>2842</v>
      </c>
      <c r="EW28">
        <v>0</v>
      </c>
      <c r="EX28">
        <v>0</v>
      </c>
      <c r="EY28">
        <v>2842</v>
      </c>
      <c r="EZ28">
        <v>0</v>
      </c>
      <c r="FA28">
        <v>0</v>
      </c>
      <c r="FB28">
        <v>2870</v>
      </c>
      <c r="FC28">
        <v>6.5</v>
      </c>
      <c r="FJ28" t="s">
        <v>785</v>
      </c>
      <c r="FK28">
        <v>114</v>
      </c>
      <c r="FL28" s="1">
        <v>46109.685613425929</v>
      </c>
      <c r="FM28">
        <v>1206</v>
      </c>
      <c r="FN28" t="s">
        <v>587</v>
      </c>
      <c r="FO28" t="s">
        <v>587</v>
      </c>
      <c r="FP28">
        <v>1206</v>
      </c>
      <c r="FQ28" t="s">
        <v>587</v>
      </c>
      <c r="FR28" t="s">
        <v>587</v>
      </c>
      <c r="FS28" t="s">
        <v>588</v>
      </c>
      <c r="FT28" t="s">
        <v>580</v>
      </c>
      <c r="FV28" t="s">
        <v>573</v>
      </c>
      <c r="FW28" t="b">
        <v>0</v>
      </c>
      <c r="GA28" t="s">
        <v>786</v>
      </c>
      <c r="GB28">
        <v>18507</v>
      </c>
      <c r="GC28" s="1">
        <v>46109.509074074071</v>
      </c>
      <c r="GD28" t="s">
        <v>590</v>
      </c>
      <c r="GE28" t="s">
        <v>591</v>
      </c>
      <c r="GF28">
        <v>87</v>
      </c>
      <c r="GG28">
        <v>127</v>
      </c>
      <c r="GH28">
        <v>85</v>
      </c>
      <c r="GI28" t="s">
        <v>574</v>
      </c>
      <c r="GJ28">
        <v>247.96</v>
      </c>
      <c r="GL28">
        <v>1841</v>
      </c>
      <c r="GN28" t="s">
        <v>592</v>
      </c>
      <c r="GP28">
        <v>1841</v>
      </c>
      <c r="GR28" t="s">
        <v>592</v>
      </c>
      <c r="HI28" s="2">
        <v>46109</v>
      </c>
      <c r="HJ28" t="s">
        <v>593</v>
      </c>
      <c r="HK28" t="s">
        <v>537</v>
      </c>
      <c r="HM28">
        <v>2</v>
      </c>
      <c r="HN28">
        <v>2</v>
      </c>
      <c r="HV28">
        <v>1</v>
      </c>
      <c r="HW28" t="b">
        <v>0</v>
      </c>
      <c r="IB28">
        <v>2855</v>
      </c>
      <c r="IJ28">
        <v>2759</v>
      </c>
      <c r="IK28">
        <v>62</v>
      </c>
      <c r="IL28">
        <v>48</v>
      </c>
      <c r="IM28">
        <v>49</v>
      </c>
      <c r="IN28" t="s">
        <v>594</v>
      </c>
      <c r="IO28" t="s">
        <v>619</v>
      </c>
      <c r="IP28" t="s">
        <v>619</v>
      </c>
      <c r="IR28">
        <v>6</v>
      </c>
      <c r="IT28" t="s">
        <v>780</v>
      </c>
      <c r="IV28">
        <v>28471</v>
      </c>
      <c r="IW28">
        <v>28468</v>
      </c>
      <c r="IX28">
        <v>28473</v>
      </c>
      <c r="IY28">
        <v>285.48434400000002</v>
      </c>
      <c r="IZ28">
        <v>0</v>
      </c>
      <c r="JA28">
        <v>1.1000000000000001</v>
      </c>
      <c r="JB28">
        <v>0</v>
      </c>
      <c r="JC28">
        <v>1.4274210000000001</v>
      </c>
      <c r="JD28">
        <v>286.911765</v>
      </c>
      <c r="JE28">
        <v>288.01176500000003</v>
      </c>
      <c r="JF28">
        <v>99.122399999999999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74.8</v>
      </c>
      <c r="JM28">
        <v>9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9</v>
      </c>
      <c r="JU28">
        <v>0</v>
      </c>
      <c r="JV28">
        <v>0</v>
      </c>
      <c r="JW28">
        <v>570968.68949999998</v>
      </c>
      <c r="JX28">
        <v>2970</v>
      </c>
      <c r="JY28">
        <v>74.8</v>
      </c>
      <c r="JZ28">
        <v>9.0625</v>
      </c>
      <c r="KA28">
        <v>0</v>
      </c>
      <c r="KB28">
        <v>285.48434400000002</v>
      </c>
      <c r="KC28">
        <v>1.4274210000000001</v>
      </c>
      <c r="KD28">
        <v>0</v>
      </c>
      <c r="KE28">
        <v>0</v>
      </c>
      <c r="KF28">
        <v>0</v>
      </c>
      <c r="KG28">
        <v>1.1000000000000001</v>
      </c>
      <c r="KH28">
        <v>0</v>
      </c>
      <c r="KI28">
        <v>0</v>
      </c>
      <c r="KJ28" t="s">
        <v>587</v>
      </c>
      <c r="KK28">
        <v>0.28360000000000002</v>
      </c>
      <c r="KL28">
        <v>28471</v>
      </c>
      <c r="KM28">
        <v>245880</v>
      </c>
      <c r="KN28">
        <v>48080</v>
      </c>
      <c r="KP28">
        <v>180400</v>
      </c>
      <c r="KX28">
        <v>28240</v>
      </c>
      <c r="LD28">
        <v>48000</v>
      </c>
      <c r="MD28">
        <v>47580</v>
      </c>
      <c r="MP28">
        <v>180306</v>
      </c>
      <c r="MQ28">
        <v>47999</v>
      </c>
      <c r="MS28">
        <v>185997</v>
      </c>
      <c r="NG28">
        <v>47999</v>
      </c>
      <c r="NP28">
        <v>29999</v>
      </c>
      <c r="OG28">
        <v>47999</v>
      </c>
      <c r="PA28">
        <v>642</v>
      </c>
      <c r="PB28">
        <v>4147</v>
      </c>
      <c r="PC28">
        <v>418521</v>
      </c>
      <c r="PD28">
        <v>43231</v>
      </c>
      <c r="PE28">
        <v>8655</v>
      </c>
      <c r="PG28">
        <v>4</v>
      </c>
      <c r="PJ28">
        <v>23630</v>
      </c>
      <c r="PM28">
        <v>15502</v>
      </c>
      <c r="PN28">
        <v>3600</v>
      </c>
      <c r="PV28">
        <v>4114</v>
      </c>
      <c r="PW28">
        <v>4996</v>
      </c>
      <c r="PX28">
        <v>1350</v>
      </c>
      <c r="PY28">
        <v>5499</v>
      </c>
      <c r="QE28">
        <v>949</v>
      </c>
      <c r="QK28">
        <v>6</v>
      </c>
      <c r="QM28">
        <v>7</v>
      </c>
      <c r="QN28">
        <v>299</v>
      </c>
      <c r="QX28">
        <v>390</v>
      </c>
      <c r="QY28">
        <v>150</v>
      </c>
      <c r="SE28" s="1">
        <v>46086.322222222225</v>
      </c>
      <c r="SF28">
        <v>28471</v>
      </c>
      <c r="SG28">
        <v>408559</v>
      </c>
      <c r="SH28">
        <v>20</v>
      </c>
      <c r="SI28" t="s">
        <v>567</v>
      </c>
      <c r="SJ28">
        <v>50</v>
      </c>
      <c r="SK28" s="1">
        <v>46109.544212962966</v>
      </c>
      <c r="SZ28">
        <v>0.17599999999999999</v>
      </c>
      <c r="TA28">
        <v>1.325</v>
      </c>
      <c r="TB28">
        <v>0.01</v>
      </c>
      <c r="TC28">
        <v>3.7000000000000002E-3</v>
      </c>
      <c r="TD28">
        <v>2.1999999999999999E-2</v>
      </c>
      <c r="TE28">
        <v>9.5000000000000001E-2</v>
      </c>
      <c r="TF28">
        <v>7.0000000000000007E-2</v>
      </c>
      <c r="TG28">
        <v>0.05</v>
      </c>
      <c r="TH28">
        <v>8.0000000000000002E-3</v>
      </c>
      <c r="TI28">
        <v>4.2000000000000003E-2</v>
      </c>
      <c r="TJ28">
        <v>6.0000000000000001E-3</v>
      </c>
      <c r="TK28">
        <v>5.9154900000000001</v>
      </c>
      <c r="TL28">
        <v>6.5000000000000002E-2</v>
      </c>
      <c r="TM28">
        <v>4.3499999999999997E-2</v>
      </c>
      <c r="TN28">
        <v>1.6999999999999999E-3</v>
      </c>
      <c r="TO28">
        <v>3.5000000000000001E-3</v>
      </c>
      <c r="TP28" t="s">
        <v>569</v>
      </c>
      <c r="TQ28">
        <v>7.1000000000000004E-3</v>
      </c>
      <c r="TR28" t="s">
        <v>570</v>
      </c>
      <c r="TS28" t="s">
        <v>578</v>
      </c>
      <c r="TU28">
        <v>0.25900000000000001</v>
      </c>
      <c r="TV28">
        <v>6.4999999999999997E-3</v>
      </c>
      <c r="UD28">
        <v>0.44</v>
      </c>
      <c r="UE28">
        <v>0.43869999999999998</v>
      </c>
      <c r="UF28">
        <v>0.49</v>
      </c>
      <c r="UH28">
        <v>2.9999999999999997E-4</v>
      </c>
      <c r="UJ28">
        <v>0.23400000000000001</v>
      </c>
      <c r="UK28">
        <v>0.14000000000000001</v>
      </c>
      <c r="UL28">
        <v>0.22</v>
      </c>
      <c r="UM28">
        <v>0.112</v>
      </c>
      <c r="UN28">
        <v>0.223</v>
      </c>
      <c r="UO28">
        <v>2.6139999999999999</v>
      </c>
      <c r="UP28">
        <v>1.9</v>
      </c>
      <c r="UQ28">
        <v>0.53</v>
      </c>
      <c r="UR28" s="1">
        <v>46086.322222222225</v>
      </c>
    </row>
    <row r="29" spans="1:564" x14ac:dyDescent="0.35">
      <c r="A29">
        <v>28472</v>
      </c>
      <c r="B29">
        <v>18508</v>
      </c>
      <c r="C29">
        <v>850</v>
      </c>
      <c r="D29">
        <v>26133</v>
      </c>
      <c r="G29" t="s">
        <v>585</v>
      </c>
      <c r="H29">
        <v>500000</v>
      </c>
      <c r="L29" t="s">
        <v>586</v>
      </c>
      <c r="M29">
        <v>74.8</v>
      </c>
      <c r="N29">
        <v>330</v>
      </c>
      <c r="O29" t="s">
        <v>596</v>
      </c>
      <c r="P29">
        <v>11</v>
      </c>
      <c r="S29" s="1">
        <v>46109.402650462966</v>
      </c>
      <c r="U29">
        <v>78</v>
      </c>
      <c r="W29">
        <v>16</v>
      </c>
      <c r="X29">
        <v>495910</v>
      </c>
      <c r="Y29" s="1">
        <v>46109.469027777777</v>
      </c>
      <c r="AB29">
        <v>93454</v>
      </c>
      <c r="AC29">
        <v>292</v>
      </c>
      <c r="AD29">
        <v>1100</v>
      </c>
      <c r="AE29">
        <v>137368</v>
      </c>
      <c r="AF29">
        <v>0</v>
      </c>
      <c r="AG29">
        <v>745.08</v>
      </c>
      <c r="AH29">
        <v>32</v>
      </c>
      <c r="AI29">
        <v>0</v>
      </c>
      <c r="AJ29">
        <v>745.08</v>
      </c>
      <c r="AK29">
        <v>32</v>
      </c>
      <c r="AL29">
        <v>6</v>
      </c>
      <c r="AM29" t="s">
        <v>787</v>
      </c>
      <c r="AO29" s="1">
        <v>46109.470300925925</v>
      </c>
      <c r="AP29">
        <v>2</v>
      </c>
      <c r="AS29" s="1">
        <v>46109.46979166667</v>
      </c>
      <c r="AT29" s="1">
        <v>46109.547002314815</v>
      </c>
      <c r="AU29">
        <v>23</v>
      </c>
      <c r="AV29">
        <v>81</v>
      </c>
      <c r="AY29">
        <v>480797</v>
      </c>
      <c r="AZ29">
        <v>469995</v>
      </c>
      <c r="BA29">
        <v>2270</v>
      </c>
      <c r="BB29">
        <v>2919</v>
      </c>
      <c r="BC29">
        <v>2862</v>
      </c>
      <c r="BD29">
        <v>0</v>
      </c>
      <c r="BG29" s="1">
        <v>46109.547546296293</v>
      </c>
      <c r="BH29" s="1">
        <v>46109.55673611111</v>
      </c>
      <c r="BI29" s="1">
        <v>46109.601643518516</v>
      </c>
      <c r="BJ29" s="1">
        <v>46109.656481481485</v>
      </c>
      <c r="BK29">
        <v>1.1000000000000001</v>
      </c>
      <c r="BM29">
        <v>4121</v>
      </c>
      <c r="BS29" t="s">
        <v>788</v>
      </c>
      <c r="BT29" s="1">
        <v>46109.564375000002</v>
      </c>
      <c r="BU29" s="1">
        <v>46109.615763888891</v>
      </c>
      <c r="BV29" t="b">
        <v>1</v>
      </c>
      <c r="BX29">
        <v>9</v>
      </c>
      <c r="BY29" t="b">
        <v>0</v>
      </c>
      <c r="BZ29">
        <v>1</v>
      </c>
      <c r="CD29">
        <v>0.9</v>
      </c>
      <c r="CF29" s="1">
        <v>46109.335462962961</v>
      </c>
      <c r="CG29" t="b">
        <v>0</v>
      </c>
      <c r="CH29" t="b">
        <v>0</v>
      </c>
      <c r="CI29" t="b">
        <v>0</v>
      </c>
      <c r="CJ29" t="b">
        <v>0</v>
      </c>
      <c r="CK29" t="b">
        <v>0</v>
      </c>
      <c r="CL29" t="b">
        <v>0</v>
      </c>
      <c r="CM29" t="b">
        <v>0</v>
      </c>
      <c r="CN29" t="b">
        <v>0</v>
      </c>
      <c r="CP29">
        <v>6</v>
      </c>
      <c r="CR29">
        <v>2</v>
      </c>
      <c r="CS29">
        <v>2797</v>
      </c>
      <c r="CT29">
        <v>2791</v>
      </c>
      <c r="CU29">
        <v>2791</v>
      </c>
      <c r="CZ29">
        <v>5.84</v>
      </c>
      <c r="DA29">
        <v>6.65</v>
      </c>
      <c r="DB29">
        <v>7.81</v>
      </c>
      <c r="DC29">
        <v>7.22</v>
      </c>
      <c r="DH29">
        <v>4458</v>
      </c>
      <c r="DI29">
        <v>4456</v>
      </c>
      <c r="DJ29">
        <v>416</v>
      </c>
      <c r="DK29">
        <v>416</v>
      </c>
      <c r="DP29">
        <v>4448</v>
      </c>
      <c r="DQ29">
        <v>4448</v>
      </c>
      <c r="DR29">
        <v>416</v>
      </c>
      <c r="DS29">
        <v>416</v>
      </c>
      <c r="DX29">
        <v>4449</v>
      </c>
      <c r="DY29">
        <v>4444</v>
      </c>
      <c r="DZ29">
        <v>414</v>
      </c>
      <c r="EA29">
        <v>416</v>
      </c>
      <c r="EB29" s="1">
        <v>46109.624594907407</v>
      </c>
      <c r="EG29" s="1">
        <v>46109.656481481485</v>
      </c>
      <c r="EJ29" s="1">
        <v>46109.687696759262</v>
      </c>
      <c r="EK29">
        <v>0.11</v>
      </c>
      <c r="EL29">
        <v>314</v>
      </c>
      <c r="EM29">
        <v>2943</v>
      </c>
      <c r="EN29">
        <v>0.05</v>
      </c>
      <c r="EO29">
        <v>729</v>
      </c>
      <c r="EP29">
        <v>3034</v>
      </c>
      <c r="EQ29">
        <v>8.7100000000000009</v>
      </c>
      <c r="ER29">
        <v>4</v>
      </c>
      <c r="ES29">
        <v>2919</v>
      </c>
      <c r="ET29">
        <v>0</v>
      </c>
      <c r="EU29">
        <v>0</v>
      </c>
      <c r="EV29">
        <v>32</v>
      </c>
      <c r="EW29">
        <v>5.04</v>
      </c>
      <c r="EX29">
        <v>7</v>
      </c>
      <c r="EY29">
        <v>2946</v>
      </c>
      <c r="EZ29">
        <v>17.559999999999999</v>
      </c>
      <c r="FA29">
        <v>2</v>
      </c>
      <c r="FB29">
        <v>2937</v>
      </c>
      <c r="FC29">
        <v>6.6</v>
      </c>
      <c r="FJ29" t="s">
        <v>789</v>
      </c>
      <c r="FK29">
        <v>114</v>
      </c>
      <c r="FL29" s="1">
        <v>46109.687488425923</v>
      </c>
      <c r="FM29">
        <v>1206</v>
      </c>
      <c r="FN29" t="s">
        <v>587</v>
      </c>
      <c r="FO29" t="s">
        <v>587</v>
      </c>
      <c r="FP29">
        <v>1206</v>
      </c>
      <c r="FQ29" t="s">
        <v>587</v>
      </c>
      <c r="FR29" t="s">
        <v>587</v>
      </c>
      <c r="FS29" t="s">
        <v>588</v>
      </c>
      <c r="FT29" t="s">
        <v>638</v>
      </c>
      <c r="FV29" t="s">
        <v>573</v>
      </c>
      <c r="FW29" t="b">
        <v>0</v>
      </c>
      <c r="GA29" t="s">
        <v>790</v>
      </c>
      <c r="GB29">
        <v>18508</v>
      </c>
      <c r="GC29" s="1">
        <v>46109.564375000002</v>
      </c>
      <c r="GD29" t="s">
        <v>590</v>
      </c>
      <c r="GE29" t="s">
        <v>591</v>
      </c>
      <c r="GF29">
        <v>96</v>
      </c>
      <c r="GG29">
        <v>111</v>
      </c>
      <c r="GH29">
        <v>79</v>
      </c>
      <c r="GI29" t="s">
        <v>565</v>
      </c>
      <c r="GJ29">
        <v>247.96</v>
      </c>
      <c r="GL29">
        <v>1841</v>
      </c>
      <c r="GN29" t="s">
        <v>592</v>
      </c>
      <c r="GP29">
        <v>1841</v>
      </c>
      <c r="GR29" t="s">
        <v>592</v>
      </c>
      <c r="HI29" s="2">
        <v>46109</v>
      </c>
      <c r="HJ29" t="s">
        <v>593</v>
      </c>
      <c r="HK29" t="s">
        <v>537</v>
      </c>
      <c r="HM29">
        <v>3</v>
      </c>
      <c r="HN29">
        <v>2</v>
      </c>
      <c r="HV29">
        <v>2</v>
      </c>
      <c r="HW29" t="b">
        <v>0</v>
      </c>
      <c r="IB29">
        <v>2855</v>
      </c>
      <c r="IE29" t="s">
        <v>791</v>
      </c>
      <c r="IG29">
        <v>1</v>
      </c>
      <c r="IJ29">
        <v>2759</v>
      </c>
      <c r="IK29">
        <v>38</v>
      </c>
      <c r="IL29">
        <v>32</v>
      </c>
      <c r="IM29">
        <v>32</v>
      </c>
      <c r="IN29" t="s">
        <v>594</v>
      </c>
      <c r="IO29" t="s">
        <v>619</v>
      </c>
      <c r="IP29" t="s">
        <v>619</v>
      </c>
      <c r="IR29">
        <v>8</v>
      </c>
      <c r="IT29" t="s">
        <v>780</v>
      </c>
      <c r="IV29">
        <v>28472</v>
      </c>
      <c r="IW29">
        <v>28468</v>
      </c>
      <c r="IX29">
        <v>28473</v>
      </c>
      <c r="IY29">
        <v>253.76386199999999</v>
      </c>
      <c r="IZ29">
        <v>0</v>
      </c>
      <c r="JA29">
        <v>1.1000000000000001</v>
      </c>
      <c r="JB29">
        <v>0</v>
      </c>
      <c r="JC29">
        <v>1.2688189999999999</v>
      </c>
      <c r="JD29">
        <v>255.032681</v>
      </c>
      <c r="JE29">
        <v>256.13268099999999</v>
      </c>
      <c r="JF29">
        <v>99.075100000000006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74.8</v>
      </c>
      <c r="JM29">
        <v>9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8</v>
      </c>
      <c r="JU29">
        <v>0</v>
      </c>
      <c r="JV29">
        <v>0</v>
      </c>
      <c r="JW29">
        <v>507527.72399999999</v>
      </c>
      <c r="JX29">
        <v>2640</v>
      </c>
      <c r="JY29">
        <v>74.8</v>
      </c>
      <c r="JZ29">
        <v>9.0625</v>
      </c>
      <c r="KA29">
        <v>0</v>
      </c>
      <c r="KB29">
        <v>253.76386199999999</v>
      </c>
      <c r="KC29">
        <v>1.2688189999999999</v>
      </c>
      <c r="KD29">
        <v>0</v>
      </c>
      <c r="KE29">
        <v>0</v>
      </c>
      <c r="KF29">
        <v>0</v>
      </c>
      <c r="KG29">
        <v>1.1000000000000001</v>
      </c>
      <c r="KH29">
        <v>0</v>
      </c>
      <c r="KI29">
        <v>0</v>
      </c>
      <c r="KJ29" t="s">
        <v>587</v>
      </c>
      <c r="KK29">
        <v>0.28360000000000002</v>
      </c>
      <c r="KL29">
        <v>28472</v>
      </c>
      <c r="KM29">
        <v>241680</v>
      </c>
      <c r="KN29">
        <v>50680</v>
      </c>
      <c r="KP29">
        <v>183920</v>
      </c>
      <c r="KX29">
        <v>31460</v>
      </c>
      <c r="LD29">
        <v>49220</v>
      </c>
      <c r="MD29">
        <v>47540</v>
      </c>
      <c r="MP29">
        <v>179998</v>
      </c>
      <c r="MQ29">
        <v>47999</v>
      </c>
      <c r="MS29">
        <v>184498</v>
      </c>
      <c r="NG29">
        <v>47999</v>
      </c>
      <c r="NP29">
        <v>29999</v>
      </c>
      <c r="OG29">
        <v>47999</v>
      </c>
      <c r="PA29">
        <v>595</v>
      </c>
      <c r="PB29">
        <v>4176</v>
      </c>
      <c r="PC29">
        <v>434202</v>
      </c>
      <c r="PD29">
        <v>45456</v>
      </c>
      <c r="PE29">
        <v>8663</v>
      </c>
      <c r="PG29">
        <v>4</v>
      </c>
      <c r="PJ29">
        <v>25020</v>
      </c>
      <c r="PM29">
        <v>15363</v>
      </c>
      <c r="PN29">
        <v>3939</v>
      </c>
      <c r="PV29">
        <v>1318</v>
      </c>
      <c r="PW29">
        <v>5511</v>
      </c>
      <c r="PX29">
        <v>1447</v>
      </c>
      <c r="PY29">
        <v>4841</v>
      </c>
      <c r="QD29">
        <v>100</v>
      </c>
      <c r="QE29">
        <v>949</v>
      </c>
      <c r="QI29">
        <v>200</v>
      </c>
      <c r="QK29">
        <v>8</v>
      </c>
      <c r="QM29">
        <v>8</v>
      </c>
      <c r="QN29">
        <v>322</v>
      </c>
      <c r="QX29">
        <v>388</v>
      </c>
      <c r="QY29">
        <v>150</v>
      </c>
      <c r="SE29" s="1">
        <v>46086.322222222225</v>
      </c>
      <c r="SF29">
        <v>28472</v>
      </c>
      <c r="SG29">
        <v>408588</v>
      </c>
      <c r="SH29">
        <v>20</v>
      </c>
      <c r="SI29" t="s">
        <v>567</v>
      </c>
      <c r="SJ29">
        <v>50</v>
      </c>
      <c r="SK29" s="1">
        <v>46109.610462962963</v>
      </c>
      <c r="SZ29">
        <v>0.17899999999999999</v>
      </c>
      <c r="TA29">
        <v>1.3240000000000001</v>
      </c>
      <c r="TB29">
        <v>1.09E-2</v>
      </c>
      <c r="TC29">
        <v>2.0999999999999999E-3</v>
      </c>
      <c r="TD29">
        <v>0.03</v>
      </c>
      <c r="TE29">
        <v>9.5000000000000001E-2</v>
      </c>
      <c r="TF29">
        <v>7.2999999999999995E-2</v>
      </c>
      <c r="TG29">
        <v>5.6000000000000001E-2</v>
      </c>
      <c r="TH29">
        <v>8.0000000000000002E-3</v>
      </c>
      <c r="TI29">
        <v>2.8000000000000001E-2</v>
      </c>
      <c r="TJ29">
        <v>6.0000000000000001E-3</v>
      </c>
      <c r="TK29">
        <v>3.5640999999999998</v>
      </c>
      <c r="TL29">
        <v>6.5000000000000002E-2</v>
      </c>
      <c r="TM29">
        <v>4.4299999999999999E-2</v>
      </c>
      <c r="TN29">
        <v>1.6999999999999999E-3</v>
      </c>
      <c r="TO29">
        <v>4.4000000000000003E-3</v>
      </c>
      <c r="TP29" t="s">
        <v>569</v>
      </c>
      <c r="TQ29">
        <v>7.7999999999999996E-3</v>
      </c>
      <c r="TR29" t="s">
        <v>570</v>
      </c>
      <c r="TS29" t="s">
        <v>578</v>
      </c>
      <c r="TU29">
        <v>0.26229999999999998</v>
      </c>
      <c r="TV29">
        <v>6.6E-3</v>
      </c>
      <c r="UD29">
        <v>0.44</v>
      </c>
      <c r="UE29">
        <v>0.44359999999999999</v>
      </c>
      <c r="UF29">
        <v>0.56000000000000005</v>
      </c>
      <c r="UH29">
        <v>2.2000000000000001E-4</v>
      </c>
      <c r="UJ29">
        <v>0.2442</v>
      </c>
      <c r="UK29">
        <v>0.14000000000000001</v>
      </c>
      <c r="UL29">
        <v>0.22</v>
      </c>
      <c r="UM29">
        <v>0.1137</v>
      </c>
      <c r="UN29">
        <v>0.23200000000000001</v>
      </c>
      <c r="UO29">
        <v>2.6631999999999998</v>
      </c>
      <c r="UP29">
        <v>1.7</v>
      </c>
      <c r="UQ29">
        <v>0.59</v>
      </c>
      <c r="UR29" s="1">
        <v>46086.322222222225</v>
      </c>
    </row>
    <row r="30" spans="1:564" x14ac:dyDescent="0.35">
      <c r="A30">
        <v>28473</v>
      </c>
      <c r="B30">
        <v>18509</v>
      </c>
      <c r="C30">
        <v>850</v>
      </c>
      <c r="D30">
        <v>26133</v>
      </c>
      <c r="G30" t="s">
        <v>585</v>
      </c>
      <c r="H30">
        <v>500000</v>
      </c>
      <c r="L30" t="s">
        <v>586</v>
      </c>
      <c r="M30">
        <v>74.8</v>
      </c>
      <c r="N30">
        <v>330</v>
      </c>
      <c r="O30" t="s">
        <v>596</v>
      </c>
      <c r="P30">
        <v>12</v>
      </c>
      <c r="S30" s="1">
        <v>46109.469027777777</v>
      </c>
      <c r="U30">
        <v>80</v>
      </c>
      <c r="W30">
        <v>15</v>
      </c>
      <c r="X30">
        <v>495910</v>
      </c>
      <c r="Y30" s="1">
        <v>46109.535613425927</v>
      </c>
      <c r="AB30">
        <v>91747</v>
      </c>
      <c r="AC30">
        <v>293</v>
      </c>
      <c r="AD30">
        <v>1101</v>
      </c>
      <c r="AE30">
        <v>175375</v>
      </c>
      <c r="AF30">
        <v>0.05</v>
      </c>
      <c r="AG30">
        <v>746</v>
      </c>
      <c r="AH30">
        <v>2979</v>
      </c>
      <c r="AI30">
        <v>0.04</v>
      </c>
      <c r="AJ30">
        <v>931</v>
      </c>
      <c r="AK30">
        <v>3034</v>
      </c>
      <c r="AL30">
        <v>7</v>
      </c>
      <c r="AM30" t="s">
        <v>792</v>
      </c>
      <c r="AO30" s="1">
        <v>46109.536990740744</v>
      </c>
      <c r="AP30">
        <v>1</v>
      </c>
      <c r="AS30" s="1">
        <v>46109.629131944443</v>
      </c>
      <c r="AT30" s="1">
        <v>46109.629282407404</v>
      </c>
      <c r="AU30">
        <v>25</v>
      </c>
      <c r="AV30">
        <v>103</v>
      </c>
      <c r="AY30">
        <v>490575</v>
      </c>
      <c r="AZ30">
        <v>479995</v>
      </c>
      <c r="BA30">
        <v>2560</v>
      </c>
      <c r="BB30">
        <v>3021</v>
      </c>
      <c r="BC30">
        <v>2861</v>
      </c>
      <c r="BD30">
        <v>0</v>
      </c>
      <c r="BG30" s="1">
        <v>46109.629733796297</v>
      </c>
      <c r="BH30" s="1">
        <v>46109.621215277781</v>
      </c>
      <c r="BI30" s="1">
        <v>46109.65662037037</v>
      </c>
      <c r="BJ30" s="1">
        <v>46109.699004629627</v>
      </c>
      <c r="BK30">
        <v>1.1000000000000001</v>
      </c>
      <c r="BL30">
        <v>6</v>
      </c>
      <c r="BM30">
        <v>4121</v>
      </c>
      <c r="BS30" t="s">
        <v>793</v>
      </c>
      <c r="BT30" s="1">
        <v>46109.622604166667</v>
      </c>
      <c r="BU30" s="1">
        <v>46109.668437499997</v>
      </c>
      <c r="BV30" t="b">
        <v>0</v>
      </c>
      <c r="BX30">
        <v>9</v>
      </c>
      <c r="BY30" t="b">
        <v>0</v>
      </c>
      <c r="CD30">
        <v>0.9</v>
      </c>
      <c r="CF30" s="1">
        <v>46109.335902777777</v>
      </c>
      <c r="CG30" t="b">
        <v>0</v>
      </c>
      <c r="CH30" t="b">
        <v>0</v>
      </c>
      <c r="CI30" t="b">
        <v>0</v>
      </c>
      <c r="CJ30" t="b">
        <v>0</v>
      </c>
      <c r="CK30" t="b">
        <v>0</v>
      </c>
      <c r="CL30" t="b">
        <v>0</v>
      </c>
      <c r="CM30" t="b">
        <v>0</v>
      </c>
      <c r="CN30" t="b">
        <v>0</v>
      </c>
      <c r="CP30">
        <v>6</v>
      </c>
      <c r="CR30">
        <v>2</v>
      </c>
      <c r="CS30">
        <v>2808</v>
      </c>
      <c r="CT30">
        <v>2799</v>
      </c>
      <c r="CU30">
        <v>2820</v>
      </c>
      <c r="CZ30">
        <v>6.54</v>
      </c>
      <c r="DA30">
        <v>6.04</v>
      </c>
      <c r="DB30">
        <v>7.83</v>
      </c>
      <c r="DC30">
        <v>7.07</v>
      </c>
      <c r="DH30">
        <v>4451</v>
      </c>
      <c r="DI30">
        <v>4443</v>
      </c>
      <c r="DJ30">
        <v>415</v>
      </c>
      <c r="DK30">
        <v>415</v>
      </c>
      <c r="DP30">
        <v>4445</v>
      </c>
      <c r="DQ30">
        <v>4442</v>
      </c>
      <c r="DR30">
        <v>415</v>
      </c>
      <c r="DS30">
        <v>416</v>
      </c>
      <c r="DX30">
        <v>4451</v>
      </c>
      <c r="DY30">
        <v>4440</v>
      </c>
      <c r="DZ30">
        <v>416</v>
      </c>
      <c r="EA30">
        <v>416</v>
      </c>
      <c r="EB30" s="1">
        <v>46109.682569444441</v>
      </c>
      <c r="EF30">
        <v>84</v>
      </c>
      <c r="EG30" s="1">
        <v>46109.699004629627</v>
      </c>
      <c r="EJ30" s="1">
        <v>46109.934398148151</v>
      </c>
      <c r="EQ30">
        <v>0.14000000000000001</v>
      </c>
      <c r="ER30">
        <v>255</v>
      </c>
      <c r="ES30">
        <v>3021</v>
      </c>
      <c r="ET30">
        <v>0</v>
      </c>
      <c r="EU30">
        <v>0</v>
      </c>
      <c r="EV30">
        <v>2994</v>
      </c>
      <c r="EW30">
        <v>1.57</v>
      </c>
      <c r="EX30">
        <v>24</v>
      </c>
      <c r="EY30">
        <v>3097</v>
      </c>
      <c r="EZ30">
        <v>0</v>
      </c>
      <c r="FA30">
        <v>0</v>
      </c>
      <c r="FB30">
        <v>3078</v>
      </c>
      <c r="FC30">
        <v>6.7</v>
      </c>
      <c r="FJ30" t="s">
        <v>794</v>
      </c>
      <c r="FK30">
        <v>97</v>
      </c>
      <c r="FL30" s="1">
        <v>46109.934201388889</v>
      </c>
      <c r="FM30">
        <v>1206</v>
      </c>
      <c r="FN30" t="s">
        <v>587</v>
      </c>
      <c r="FO30" t="s">
        <v>587</v>
      </c>
      <c r="FP30">
        <v>1206</v>
      </c>
      <c r="FQ30" t="s">
        <v>587</v>
      </c>
      <c r="FR30" t="s">
        <v>587</v>
      </c>
      <c r="FS30" t="s">
        <v>588</v>
      </c>
      <c r="FT30" t="s">
        <v>589</v>
      </c>
      <c r="FU30" t="s">
        <v>582</v>
      </c>
      <c r="FV30" t="s">
        <v>573</v>
      </c>
      <c r="FW30" t="b">
        <v>0</v>
      </c>
      <c r="GA30" t="s">
        <v>795</v>
      </c>
      <c r="GB30">
        <v>18509</v>
      </c>
      <c r="GC30" s="1">
        <v>46109.622604166667</v>
      </c>
      <c r="GD30" t="s">
        <v>590</v>
      </c>
      <c r="GE30" t="s">
        <v>591</v>
      </c>
      <c r="GF30">
        <v>96</v>
      </c>
      <c r="GG30">
        <v>1</v>
      </c>
      <c r="GH30">
        <v>61</v>
      </c>
      <c r="GI30" t="s">
        <v>574</v>
      </c>
      <c r="GJ30">
        <v>247.96</v>
      </c>
      <c r="GL30">
        <v>1841</v>
      </c>
      <c r="GN30" t="s">
        <v>592</v>
      </c>
      <c r="GP30">
        <v>1841</v>
      </c>
      <c r="GR30" t="s">
        <v>592</v>
      </c>
      <c r="GT30">
        <v>1940</v>
      </c>
      <c r="GV30">
        <v>10.1</v>
      </c>
      <c r="GX30">
        <v>8.9</v>
      </c>
      <c r="GZ30">
        <v>8.6999999999999993</v>
      </c>
      <c r="HB30">
        <v>8</v>
      </c>
      <c r="HD30">
        <v>74.75</v>
      </c>
      <c r="HF30">
        <v>75</v>
      </c>
      <c r="HI30" s="2">
        <v>46109</v>
      </c>
      <c r="HJ30" t="s">
        <v>593</v>
      </c>
      <c r="HK30" t="s">
        <v>537</v>
      </c>
      <c r="HM30">
        <v>4</v>
      </c>
      <c r="HN30">
        <v>2</v>
      </c>
      <c r="HV30">
        <v>1</v>
      </c>
      <c r="HW30" t="b">
        <v>1</v>
      </c>
      <c r="HX30" s="1">
        <v>46109.680034722223</v>
      </c>
      <c r="HY30" t="b">
        <v>1</v>
      </c>
      <c r="HZ30" t="s">
        <v>667</v>
      </c>
      <c r="IA30" t="s">
        <v>796</v>
      </c>
      <c r="IB30">
        <v>2855</v>
      </c>
      <c r="IJ30">
        <v>2759</v>
      </c>
      <c r="IK30">
        <v>49</v>
      </c>
      <c r="IL30">
        <v>40</v>
      </c>
      <c r="IM30">
        <v>61</v>
      </c>
      <c r="IN30" t="s">
        <v>594</v>
      </c>
      <c r="IO30" t="s">
        <v>619</v>
      </c>
      <c r="IP30" t="s">
        <v>619</v>
      </c>
      <c r="IR30">
        <v>12</v>
      </c>
      <c r="IS30">
        <v>10</v>
      </c>
      <c r="IT30" t="s">
        <v>780</v>
      </c>
      <c r="IU30" s="1">
        <v>46109.696516203701</v>
      </c>
      <c r="IV30">
        <v>28473</v>
      </c>
      <c r="IW30">
        <v>28468</v>
      </c>
      <c r="IX30">
        <v>28473</v>
      </c>
      <c r="IY30">
        <v>222.04337899999999</v>
      </c>
      <c r="IZ30">
        <v>8.0743039999999997</v>
      </c>
      <c r="JA30">
        <v>7.1</v>
      </c>
      <c r="JB30">
        <v>0</v>
      </c>
      <c r="JC30">
        <v>1.1505879999999999</v>
      </c>
      <c r="JD30">
        <v>231.268271</v>
      </c>
      <c r="JE30">
        <v>238.36827099999999</v>
      </c>
      <c r="JF30">
        <v>93.151300000000006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74.8</v>
      </c>
      <c r="JM30">
        <v>9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7</v>
      </c>
      <c r="JU30">
        <v>0</v>
      </c>
      <c r="JV30">
        <v>84</v>
      </c>
      <c r="JW30">
        <v>444086.7585</v>
      </c>
      <c r="JX30">
        <v>2310</v>
      </c>
      <c r="JY30">
        <v>74.8</v>
      </c>
      <c r="JZ30">
        <v>9.0625</v>
      </c>
      <c r="KA30">
        <v>84</v>
      </c>
      <c r="KB30">
        <v>222.04337899999999</v>
      </c>
      <c r="KC30">
        <v>1.1505879999999999</v>
      </c>
      <c r="KD30">
        <v>8.0743039999999997</v>
      </c>
      <c r="KE30">
        <v>0</v>
      </c>
      <c r="KF30">
        <v>16148.609399999999</v>
      </c>
      <c r="KG30">
        <v>1.1000000000000001</v>
      </c>
      <c r="KH30">
        <v>6</v>
      </c>
      <c r="KI30">
        <v>0</v>
      </c>
      <c r="KJ30" t="s">
        <v>587</v>
      </c>
      <c r="KK30">
        <v>0.28360000000000002</v>
      </c>
      <c r="KL30">
        <v>28473</v>
      </c>
      <c r="KM30">
        <v>238160</v>
      </c>
      <c r="KN30">
        <v>46860</v>
      </c>
      <c r="KP30">
        <v>190560</v>
      </c>
      <c r="KX30">
        <v>28020</v>
      </c>
      <c r="LD30">
        <v>45260</v>
      </c>
      <c r="MD30">
        <v>50200</v>
      </c>
      <c r="MP30">
        <v>193909</v>
      </c>
      <c r="MQ30">
        <v>47999</v>
      </c>
      <c r="MS30">
        <v>185998</v>
      </c>
      <c r="NG30">
        <v>47999</v>
      </c>
      <c r="NP30">
        <v>29999</v>
      </c>
      <c r="OG30">
        <v>47999</v>
      </c>
      <c r="PA30">
        <v>584</v>
      </c>
      <c r="PB30">
        <v>4106</v>
      </c>
      <c r="PC30">
        <v>439266</v>
      </c>
      <c r="PD30">
        <v>45484</v>
      </c>
      <c r="PE30">
        <v>8676</v>
      </c>
      <c r="PG30">
        <v>2</v>
      </c>
      <c r="PJ30">
        <v>19428</v>
      </c>
      <c r="PM30">
        <v>15239</v>
      </c>
      <c r="PN30">
        <v>3856</v>
      </c>
      <c r="PV30">
        <v>1188</v>
      </c>
      <c r="PW30">
        <v>4190</v>
      </c>
      <c r="PX30">
        <v>1050</v>
      </c>
      <c r="PY30">
        <v>5151</v>
      </c>
      <c r="QD30">
        <v>1598</v>
      </c>
      <c r="QE30">
        <v>849</v>
      </c>
      <c r="QK30">
        <v>8</v>
      </c>
      <c r="QM30">
        <v>6</v>
      </c>
      <c r="QN30">
        <v>299</v>
      </c>
      <c r="QS30">
        <v>66</v>
      </c>
      <c r="QX30">
        <v>360</v>
      </c>
      <c r="QY30">
        <v>150</v>
      </c>
      <c r="SE30" s="1">
        <v>46086.322222222225</v>
      </c>
      <c r="SF30">
        <v>28473</v>
      </c>
      <c r="SG30">
        <v>408604</v>
      </c>
      <c r="SH30">
        <v>20</v>
      </c>
      <c r="SI30" t="s">
        <v>567</v>
      </c>
      <c r="SJ30">
        <v>50</v>
      </c>
      <c r="SK30" s="1">
        <v>46109.656631944446</v>
      </c>
      <c r="SZ30">
        <v>0.17599999999999999</v>
      </c>
      <c r="TA30">
        <v>1.3360000000000001</v>
      </c>
      <c r="TB30">
        <v>1.03E-2</v>
      </c>
      <c r="TC30">
        <v>7.1000000000000004E-3</v>
      </c>
      <c r="TD30">
        <v>1.7999999999999999E-2</v>
      </c>
      <c r="TE30">
        <v>8.3000000000000004E-2</v>
      </c>
      <c r="TF30">
        <v>6.6000000000000003E-2</v>
      </c>
      <c r="TG30">
        <v>0.05</v>
      </c>
      <c r="TH30">
        <v>6.0000000000000001E-3</v>
      </c>
      <c r="TI30">
        <v>3.3000000000000002E-2</v>
      </c>
      <c r="TJ30">
        <v>6.0000000000000001E-3</v>
      </c>
      <c r="TK30">
        <v>3.7415699999999998</v>
      </c>
      <c r="TL30">
        <v>6.2E-2</v>
      </c>
      <c r="TM30">
        <v>4.1599999999999998E-2</v>
      </c>
      <c r="TN30">
        <v>1.6000000000000001E-3</v>
      </c>
      <c r="TO30">
        <v>2.0999999999999999E-3</v>
      </c>
      <c r="TP30" t="s">
        <v>569</v>
      </c>
      <c r="TQ30">
        <v>8.8999999999999999E-3</v>
      </c>
      <c r="TR30" t="s">
        <v>570</v>
      </c>
      <c r="TS30" t="s">
        <v>578</v>
      </c>
      <c r="TU30">
        <v>0.2581</v>
      </c>
      <c r="TV30">
        <v>6.3E-3</v>
      </c>
      <c r="UD30">
        <v>0.43</v>
      </c>
      <c r="UE30">
        <v>0.43709999999999999</v>
      </c>
      <c r="UF30">
        <v>0.24</v>
      </c>
      <c r="UH30">
        <v>2.9999999999999997E-4</v>
      </c>
      <c r="UJ30">
        <v>0.21460000000000001</v>
      </c>
      <c r="UK30">
        <v>0.13</v>
      </c>
      <c r="UL30">
        <v>0.2</v>
      </c>
      <c r="UM30">
        <v>0.1057</v>
      </c>
      <c r="UN30">
        <v>0.20499999999999999</v>
      </c>
      <c r="UO30">
        <v>2.3719000000000001</v>
      </c>
      <c r="UP30">
        <v>1.66</v>
      </c>
      <c r="UQ30">
        <v>0.6</v>
      </c>
      <c r="UR30" s="1">
        <v>46086.322222222225</v>
      </c>
    </row>
    <row r="31" spans="1:564" x14ac:dyDescent="0.35">
      <c r="A31">
        <v>28474</v>
      </c>
      <c r="B31">
        <v>18510</v>
      </c>
      <c r="C31">
        <v>850</v>
      </c>
      <c r="D31">
        <v>26133</v>
      </c>
      <c r="G31" t="s">
        <v>585</v>
      </c>
      <c r="H31">
        <v>500000</v>
      </c>
      <c r="L31" t="s">
        <v>586</v>
      </c>
      <c r="M31">
        <v>74.8</v>
      </c>
      <c r="N31">
        <v>330</v>
      </c>
      <c r="O31" t="s">
        <v>596</v>
      </c>
      <c r="P31">
        <v>13</v>
      </c>
      <c r="S31" s="1">
        <v>46109.535613425927</v>
      </c>
      <c r="U31">
        <v>70</v>
      </c>
      <c r="W31">
        <v>42</v>
      </c>
      <c r="X31">
        <v>495910</v>
      </c>
      <c r="Y31" s="1">
        <v>46109.614074074074</v>
      </c>
      <c r="AB31">
        <v>86047</v>
      </c>
      <c r="AC31">
        <v>294</v>
      </c>
      <c r="AD31">
        <v>1102</v>
      </c>
      <c r="AE31">
        <v>241558</v>
      </c>
      <c r="AF31">
        <v>0.04</v>
      </c>
      <c r="AG31">
        <v>1042</v>
      </c>
      <c r="AH31">
        <v>3097</v>
      </c>
      <c r="AL31">
        <v>32</v>
      </c>
      <c r="AM31" t="s">
        <v>798</v>
      </c>
      <c r="AO31" s="1">
        <v>46109.775613425925</v>
      </c>
      <c r="AP31">
        <v>1</v>
      </c>
      <c r="AS31" s="1">
        <v>46109.547002314815</v>
      </c>
      <c r="AT31" s="1">
        <v>46109.775000000001</v>
      </c>
      <c r="AU31">
        <v>45</v>
      </c>
      <c r="AV31">
        <v>205</v>
      </c>
      <c r="AY31">
        <v>470025</v>
      </c>
      <c r="AZ31">
        <v>453160</v>
      </c>
      <c r="BA31">
        <v>4530</v>
      </c>
      <c r="BB31">
        <v>32</v>
      </c>
      <c r="BC31">
        <v>2881</v>
      </c>
      <c r="BD31">
        <v>0</v>
      </c>
      <c r="BG31" s="1">
        <v>46109.775763888887</v>
      </c>
      <c r="BH31" s="1">
        <v>46109.782361111109</v>
      </c>
      <c r="BI31" s="1">
        <v>46109.786643518521</v>
      </c>
      <c r="BJ31" s="1">
        <v>46109.868877314817</v>
      </c>
      <c r="BK31">
        <v>1.1000000000000001</v>
      </c>
      <c r="BM31">
        <v>4122</v>
      </c>
      <c r="BT31" s="1">
        <v>46109.786527777775</v>
      </c>
      <c r="BU31" s="1">
        <v>46109.831666666665</v>
      </c>
      <c r="BV31" t="b">
        <v>0</v>
      </c>
      <c r="BX31">
        <v>8</v>
      </c>
      <c r="BY31" t="b">
        <v>0</v>
      </c>
      <c r="CD31">
        <v>0.9</v>
      </c>
      <c r="CF31" s="1">
        <v>46109.663576388892</v>
      </c>
      <c r="CG31" t="b">
        <v>0</v>
      </c>
      <c r="CH31" t="b">
        <v>0</v>
      </c>
      <c r="CI31" t="b">
        <v>0</v>
      </c>
      <c r="CJ31" t="b">
        <v>0</v>
      </c>
      <c r="CK31" t="b">
        <v>0</v>
      </c>
      <c r="CL31" t="b">
        <v>0</v>
      </c>
      <c r="CM31" t="b">
        <v>0</v>
      </c>
      <c r="CN31" t="b">
        <v>0</v>
      </c>
      <c r="CP31">
        <v>6</v>
      </c>
      <c r="CR31">
        <v>2</v>
      </c>
      <c r="CS31">
        <v>2820</v>
      </c>
      <c r="CT31">
        <v>2816</v>
      </c>
      <c r="CU31">
        <v>2825</v>
      </c>
      <c r="CZ31">
        <v>6.62</v>
      </c>
      <c r="DA31">
        <v>6.42</v>
      </c>
      <c r="DB31">
        <v>6.82</v>
      </c>
      <c r="DC31">
        <v>6.44</v>
      </c>
      <c r="DH31">
        <v>4437</v>
      </c>
      <c r="DI31">
        <v>4448</v>
      </c>
      <c r="DJ31">
        <v>417</v>
      </c>
      <c r="DK31">
        <v>417</v>
      </c>
      <c r="EB31" s="1">
        <v>46109.832037037035</v>
      </c>
      <c r="ED31">
        <v>30</v>
      </c>
      <c r="EG31" s="1">
        <v>46109.868877314817</v>
      </c>
      <c r="EJ31" s="1">
        <v>46109.93540509259</v>
      </c>
      <c r="EQ31">
        <v>0</v>
      </c>
      <c r="ER31">
        <v>0</v>
      </c>
      <c r="ES31">
        <v>32</v>
      </c>
      <c r="ET31">
        <v>12.05</v>
      </c>
      <c r="EU31">
        <v>3</v>
      </c>
      <c r="EV31">
        <v>3000</v>
      </c>
      <c r="EW31">
        <v>8.89</v>
      </c>
      <c r="EX31">
        <v>4</v>
      </c>
      <c r="EY31">
        <v>2962</v>
      </c>
      <c r="EZ31">
        <v>0</v>
      </c>
      <c r="FA31">
        <v>0</v>
      </c>
      <c r="FB31">
        <v>32</v>
      </c>
      <c r="FC31">
        <v>7.5</v>
      </c>
      <c r="FG31" t="b">
        <v>1</v>
      </c>
      <c r="FI31" t="s">
        <v>571</v>
      </c>
      <c r="FJ31" t="s">
        <v>799</v>
      </c>
      <c r="FK31">
        <v>114</v>
      </c>
      <c r="FL31" s="1">
        <v>46109.935208333336</v>
      </c>
      <c r="FM31">
        <v>1206</v>
      </c>
      <c r="FN31" t="s">
        <v>587</v>
      </c>
      <c r="FO31" t="s">
        <v>587</v>
      </c>
      <c r="FP31">
        <v>1206</v>
      </c>
      <c r="FQ31" t="s">
        <v>587</v>
      </c>
      <c r="FR31" t="s">
        <v>587</v>
      </c>
      <c r="FS31" t="s">
        <v>588</v>
      </c>
      <c r="FT31" t="s">
        <v>589</v>
      </c>
      <c r="FU31" t="s">
        <v>638</v>
      </c>
      <c r="FV31" t="s">
        <v>573</v>
      </c>
      <c r="FW31" t="b">
        <v>0</v>
      </c>
      <c r="GA31" t="s">
        <v>800</v>
      </c>
      <c r="GB31">
        <v>18510</v>
      </c>
      <c r="GC31" s="1">
        <v>46109.786527777775</v>
      </c>
      <c r="GD31" t="s">
        <v>590</v>
      </c>
      <c r="GE31" t="s">
        <v>591</v>
      </c>
      <c r="GF31">
        <v>113</v>
      </c>
      <c r="GG31">
        <v>329</v>
      </c>
      <c r="GH31">
        <v>119</v>
      </c>
      <c r="GI31" t="s">
        <v>574</v>
      </c>
      <c r="GJ31">
        <v>247.96</v>
      </c>
      <c r="GL31">
        <v>1841</v>
      </c>
      <c r="GN31" t="s">
        <v>592</v>
      </c>
      <c r="GP31">
        <v>1841</v>
      </c>
      <c r="GR31" t="s">
        <v>592</v>
      </c>
      <c r="GT31">
        <v>1940</v>
      </c>
      <c r="GV31">
        <v>9.6999999999999993</v>
      </c>
      <c r="GX31">
        <v>8.6999999999999993</v>
      </c>
      <c r="HD31">
        <v>74.75</v>
      </c>
      <c r="HF31">
        <v>75</v>
      </c>
      <c r="HI31" s="2">
        <v>46109</v>
      </c>
      <c r="HJ31" t="s">
        <v>593</v>
      </c>
      <c r="HK31" t="s">
        <v>519</v>
      </c>
      <c r="HM31">
        <v>1</v>
      </c>
      <c r="HN31">
        <v>1</v>
      </c>
      <c r="HV31">
        <v>1</v>
      </c>
      <c r="HW31" t="b">
        <v>0</v>
      </c>
      <c r="IJ31">
        <v>2759</v>
      </c>
      <c r="IK31">
        <v>61</v>
      </c>
      <c r="IL31">
        <v>57</v>
      </c>
      <c r="IM31">
        <v>66</v>
      </c>
      <c r="IN31" t="s">
        <v>594</v>
      </c>
      <c r="IO31" t="s">
        <v>619</v>
      </c>
      <c r="IP31" t="s">
        <v>619</v>
      </c>
      <c r="IR31">
        <v>12</v>
      </c>
      <c r="IS31">
        <v>8</v>
      </c>
      <c r="IT31" t="s">
        <v>780</v>
      </c>
      <c r="IU31" s="1">
        <v>46109.827002314814</v>
      </c>
      <c r="IV31">
        <v>28474</v>
      </c>
      <c r="IW31">
        <v>28474</v>
      </c>
      <c r="IX31">
        <v>28477</v>
      </c>
      <c r="IY31">
        <v>254.05223000000001</v>
      </c>
      <c r="IZ31">
        <v>2.88368</v>
      </c>
      <c r="JA31">
        <v>1.1000000000000001</v>
      </c>
      <c r="JB31">
        <v>0</v>
      </c>
      <c r="JC31">
        <v>1.2846789999999999</v>
      </c>
      <c r="JD31">
        <v>258.22058900000002</v>
      </c>
      <c r="JE31">
        <v>259.32058899999998</v>
      </c>
      <c r="JF31">
        <v>97.968299999999999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74.8</v>
      </c>
      <c r="JM31">
        <v>9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8</v>
      </c>
      <c r="JU31">
        <v>30</v>
      </c>
      <c r="JV31">
        <v>0</v>
      </c>
      <c r="JW31">
        <v>508104.46004999999</v>
      </c>
      <c r="JX31">
        <v>2643</v>
      </c>
      <c r="JY31">
        <v>74.8</v>
      </c>
      <c r="JZ31">
        <v>9.0625</v>
      </c>
      <c r="KA31">
        <v>30</v>
      </c>
      <c r="KB31">
        <v>254.05223000000001</v>
      </c>
      <c r="KC31">
        <v>1.2846789999999999</v>
      </c>
      <c r="KD31">
        <v>2.88368</v>
      </c>
      <c r="KE31">
        <v>5767.3604999999998</v>
      </c>
      <c r="KF31">
        <v>0</v>
      </c>
      <c r="KG31">
        <v>1.1000000000000001</v>
      </c>
      <c r="KH31">
        <v>0</v>
      </c>
      <c r="KI31">
        <v>0</v>
      </c>
      <c r="KJ31" t="s">
        <v>587</v>
      </c>
      <c r="KK31">
        <v>0.28360000000000002</v>
      </c>
      <c r="KL31">
        <v>28474</v>
      </c>
      <c r="KM31">
        <v>207480</v>
      </c>
      <c r="KN31">
        <v>40860</v>
      </c>
      <c r="KP31">
        <v>160600</v>
      </c>
      <c r="KX31">
        <v>24840</v>
      </c>
      <c r="LD31">
        <v>38620</v>
      </c>
      <c r="MD31">
        <v>42220</v>
      </c>
      <c r="MP31">
        <v>165916</v>
      </c>
      <c r="MQ31">
        <v>41599</v>
      </c>
      <c r="MS31">
        <v>161198</v>
      </c>
      <c r="NG31">
        <v>41599</v>
      </c>
      <c r="NP31">
        <v>25999</v>
      </c>
      <c r="OG31">
        <v>41599</v>
      </c>
      <c r="PA31">
        <v>581</v>
      </c>
      <c r="PB31">
        <v>4059</v>
      </c>
      <c r="PC31">
        <v>384897</v>
      </c>
      <c r="PD31">
        <v>52367</v>
      </c>
      <c r="PE31">
        <v>8076</v>
      </c>
      <c r="PG31">
        <v>1</v>
      </c>
      <c r="PJ31">
        <v>18265</v>
      </c>
      <c r="PM31">
        <v>14723</v>
      </c>
      <c r="PN31">
        <v>4106</v>
      </c>
      <c r="PV31">
        <v>2948</v>
      </c>
      <c r="PW31">
        <v>5390</v>
      </c>
      <c r="PX31">
        <v>1550</v>
      </c>
      <c r="PY31">
        <v>4488</v>
      </c>
      <c r="QE31">
        <v>949</v>
      </c>
      <c r="QK31">
        <v>12</v>
      </c>
      <c r="QM31">
        <v>14</v>
      </c>
      <c r="QN31">
        <v>312</v>
      </c>
      <c r="QX31">
        <v>390</v>
      </c>
      <c r="QY31">
        <v>175</v>
      </c>
      <c r="SE31" s="1">
        <v>46086.322222222225</v>
      </c>
      <c r="SF31">
        <v>28474</v>
      </c>
      <c r="SG31">
        <v>408663</v>
      </c>
      <c r="SH31">
        <v>20</v>
      </c>
      <c r="SI31" t="s">
        <v>567</v>
      </c>
      <c r="SJ31">
        <v>50</v>
      </c>
      <c r="SK31" s="1">
        <v>46109.828287037039</v>
      </c>
      <c r="SZ31">
        <v>0.17399999999999999</v>
      </c>
      <c r="TA31">
        <v>1.323</v>
      </c>
      <c r="TB31">
        <v>1.1299999999999999E-2</v>
      </c>
      <c r="TC31">
        <v>3.5999999999999999E-3</v>
      </c>
      <c r="TD31">
        <v>2.8000000000000001E-2</v>
      </c>
      <c r="TE31">
        <v>8.7999999999999995E-2</v>
      </c>
      <c r="TF31">
        <v>7.6999999999999999E-2</v>
      </c>
      <c r="TG31">
        <v>5.0999999999999997E-2</v>
      </c>
      <c r="TH31">
        <v>8.0000000000000002E-3</v>
      </c>
      <c r="TI31">
        <v>3.5999999999999997E-2</v>
      </c>
      <c r="TJ31">
        <v>7.0000000000000001E-3</v>
      </c>
      <c r="TK31">
        <v>4.4321000000000002</v>
      </c>
      <c r="TL31">
        <v>6.4000000000000001E-2</v>
      </c>
      <c r="TM31">
        <v>4.2999999999999997E-2</v>
      </c>
      <c r="TN31">
        <v>2.0999999999999999E-3</v>
      </c>
      <c r="TO31">
        <v>4.4999999999999997E-3</v>
      </c>
      <c r="TP31" t="s">
        <v>569</v>
      </c>
      <c r="TQ31">
        <v>8.0999999999999996E-3</v>
      </c>
      <c r="TR31" t="s">
        <v>570</v>
      </c>
      <c r="TS31" t="s">
        <v>578</v>
      </c>
      <c r="TU31">
        <v>0.25750000000000001</v>
      </c>
      <c r="TV31">
        <v>6.7000000000000002E-3</v>
      </c>
      <c r="UD31">
        <v>0.43</v>
      </c>
      <c r="UE31">
        <v>0.43869999999999998</v>
      </c>
      <c r="UF31">
        <v>0.56000000000000005</v>
      </c>
      <c r="UH31">
        <v>2.9E-4</v>
      </c>
      <c r="UJ31">
        <v>0.23730000000000001</v>
      </c>
      <c r="UK31">
        <v>0.14000000000000001</v>
      </c>
      <c r="UL31">
        <v>0.22</v>
      </c>
      <c r="UM31">
        <v>0.1115</v>
      </c>
      <c r="UN31">
        <v>0.224</v>
      </c>
      <c r="UO31">
        <v>2.5202</v>
      </c>
      <c r="UP31">
        <v>1.73</v>
      </c>
      <c r="UQ31">
        <v>0.57999999999999996</v>
      </c>
      <c r="UR31" s="1">
        <v>46086.322222222225</v>
      </c>
    </row>
    <row r="32" spans="1:564" x14ac:dyDescent="0.35">
      <c r="A32">
        <v>28475</v>
      </c>
      <c r="B32">
        <v>18511</v>
      </c>
      <c r="C32">
        <v>850</v>
      </c>
      <c r="D32">
        <v>26133</v>
      </c>
      <c r="G32" t="s">
        <v>585</v>
      </c>
      <c r="H32">
        <v>500000</v>
      </c>
      <c r="L32" t="s">
        <v>586</v>
      </c>
      <c r="M32">
        <v>74.8</v>
      </c>
      <c r="N32">
        <v>330</v>
      </c>
      <c r="O32" t="s">
        <v>596</v>
      </c>
      <c r="P32">
        <v>14</v>
      </c>
      <c r="S32" s="1">
        <v>46109.614074074074</v>
      </c>
      <c r="U32">
        <v>49</v>
      </c>
      <c r="W32">
        <v>44</v>
      </c>
      <c r="X32">
        <v>433868</v>
      </c>
      <c r="Y32" s="1">
        <v>46109.679652777777</v>
      </c>
      <c r="AB32">
        <v>58301</v>
      </c>
      <c r="AC32">
        <v>295</v>
      </c>
      <c r="AD32">
        <v>1103</v>
      </c>
      <c r="AE32">
        <v>248745</v>
      </c>
      <c r="AF32">
        <v>0</v>
      </c>
      <c r="AG32">
        <v>0</v>
      </c>
      <c r="AH32">
        <v>2780</v>
      </c>
      <c r="AI32">
        <v>7.0000000000000007E-2</v>
      </c>
      <c r="AJ32">
        <v>466</v>
      </c>
      <c r="AK32">
        <v>2844</v>
      </c>
      <c r="AL32">
        <v>34</v>
      </c>
      <c r="AM32" t="s">
        <v>808</v>
      </c>
      <c r="AO32" s="1">
        <v>46109.681828703702</v>
      </c>
      <c r="AP32">
        <v>2</v>
      </c>
      <c r="AS32" s="1">
        <v>46109.68141203704</v>
      </c>
      <c r="AT32" s="1">
        <v>46109.809374999997</v>
      </c>
      <c r="AU32">
        <v>34</v>
      </c>
      <c r="AV32">
        <v>124</v>
      </c>
      <c r="AY32">
        <v>451563</v>
      </c>
      <c r="AZ32">
        <v>439995</v>
      </c>
      <c r="BA32">
        <v>3360</v>
      </c>
      <c r="BB32">
        <v>2933</v>
      </c>
      <c r="BC32">
        <v>2856</v>
      </c>
      <c r="BD32">
        <v>0</v>
      </c>
      <c r="BG32" s="1">
        <v>46109.810150462959</v>
      </c>
      <c r="BH32" s="1">
        <v>46109.818055555559</v>
      </c>
      <c r="BI32" s="1">
        <v>46109.868900462963</v>
      </c>
      <c r="BJ32" s="1">
        <v>46109.912581018521</v>
      </c>
      <c r="BK32">
        <v>1.1000000000000001</v>
      </c>
      <c r="BM32">
        <v>4122</v>
      </c>
      <c r="BT32" s="1">
        <v>46109.832638888889</v>
      </c>
      <c r="BU32" s="1">
        <v>46109.878472222219</v>
      </c>
      <c r="BV32" t="b">
        <v>0</v>
      </c>
      <c r="BX32">
        <v>8</v>
      </c>
      <c r="BY32" t="b">
        <v>0</v>
      </c>
      <c r="CD32">
        <v>0.9</v>
      </c>
      <c r="CF32" s="1">
        <v>46109.663611111115</v>
      </c>
      <c r="CG32" t="b">
        <v>0</v>
      </c>
      <c r="CH32" t="b">
        <v>0</v>
      </c>
      <c r="CI32" t="b">
        <v>0</v>
      </c>
      <c r="CJ32" t="b">
        <v>0</v>
      </c>
      <c r="CK32" t="b">
        <v>0</v>
      </c>
      <c r="CL32" t="b">
        <v>0</v>
      </c>
      <c r="CM32" t="b">
        <v>0</v>
      </c>
      <c r="CN32" t="b">
        <v>0</v>
      </c>
      <c r="CP32">
        <v>6</v>
      </c>
      <c r="CR32">
        <v>2</v>
      </c>
      <c r="CS32">
        <v>2807</v>
      </c>
      <c r="CT32">
        <v>2798</v>
      </c>
      <c r="CU32">
        <v>2796</v>
      </c>
      <c r="CZ32">
        <v>6.28</v>
      </c>
      <c r="DA32">
        <v>6.14</v>
      </c>
      <c r="DB32">
        <v>7.87</v>
      </c>
      <c r="DC32">
        <v>7.47</v>
      </c>
      <c r="DH32">
        <v>4451</v>
      </c>
      <c r="DI32">
        <v>4445</v>
      </c>
      <c r="DJ32">
        <v>416</v>
      </c>
      <c r="DK32">
        <v>415</v>
      </c>
      <c r="EB32" s="1">
        <v>46109.884791666664</v>
      </c>
      <c r="EG32" s="1">
        <v>46109.912581018521</v>
      </c>
      <c r="EJ32" s="1">
        <v>46110.91810185185</v>
      </c>
      <c r="EK32">
        <v>7.0000000000000007E-2</v>
      </c>
      <c r="EL32">
        <v>466</v>
      </c>
      <c r="EM32">
        <v>2881</v>
      </c>
      <c r="EN32">
        <v>0.05</v>
      </c>
      <c r="EO32">
        <v>687</v>
      </c>
      <c r="EP32">
        <v>2962</v>
      </c>
      <c r="EQ32">
        <v>2.7</v>
      </c>
      <c r="ER32">
        <v>13</v>
      </c>
      <c r="ES32">
        <v>2933</v>
      </c>
      <c r="ET32">
        <v>0</v>
      </c>
      <c r="EU32">
        <v>0</v>
      </c>
      <c r="EV32">
        <v>32</v>
      </c>
      <c r="EW32">
        <v>11.55</v>
      </c>
      <c r="EX32">
        <v>3</v>
      </c>
      <c r="EY32">
        <v>2908</v>
      </c>
      <c r="EZ32">
        <v>3.77</v>
      </c>
      <c r="FA32">
        <v>9</v>
      </c>
      <c r="FB32">
        <v>2865</v>
      </c>
      <c r="FC32">
        <v>5.5</v>
      </c>
      <c r="FJ32" t="s">
        <v>809</v>
      </c>
      <c r="FK32">
        <v>114</v>
      </c>
      <c r="FL32" s="1">
        <v>46109.93582175926</v>
      </c>
      <c r="FM32">
        <v>1206</v>
      </c>
      <c r="FN32" t="s">
        <v>587</v>
      </c>
      <c r="FO32" t="s">
        <v>587</v>
      </c>
      <c r="FP32">
        <v>1206</v>
      </c>
      <c r="FQ32" t="s">
        <v>587</v>
      </c>
      <c r="FR32" t="s">
        <v>587</v>
      </c>
      <c r="FS32" t="s">
        <v>588</v>
      </c>
      <c r="FT32" t="s">
        <v>580</v>
      </c>
      <c r="FV32" t="s">
        <v>573</v>
      </c>
      <c r="FW32" t="b">
        <v>0</v>
      </c>
      <c r="GA32" t="s">
        <v>810</v>
      </c>
      <c r="GB32">
        <v>18511</v>
      </c>
      <c r="GC32" s="1">
        <v>46109.832638888889</v>
      </c>
      <c r="GD32" t="s">
        <v>590</v>
      </c>
      <c r="GE32" t="s">
        <v>591</v>
      </c>
      <c r="GF32">
        <v>94</v>
      </c>
      <c r="GG32">
        <v>184</v>
      </c>
      <c r="GH32">
        <v>63</v>
      </c>
      <c r="GI32" t="s">
        <v>565</v>
      </c>
      <c r="GJ32">
        <v>216.93</v>
      </c>
      <c r="GL32">
        <v>1841</v>
      </c>
      <c r="GN32" t="s">
        <v>592</v>
      </c>
      <c r="GP32">
        <v>1841</v>
      </c>
      <c r="GR32" t="s">
        <v>592</v>
      </c>
      <c r="HI32" s="2">
        <v>46109</v>
      </c>
      <c r="HJ32" t="s">
        <v>593</v>
      </c>
      <c r="HK32" t="s">
        <v>519</v>
      </c>
      <c r="HM32">
        <v>2</v>
      </c>
      <c r="HN32">
        <v>1</v>
      </c>
      <c r="HV32">
        <v>1</v>
      </c>
      <c r="HW32" t="b">
        <v>0</v>
      </c>
      <c r="IB32">
        <v>2850</v>
      </c>
      <c r="IJ32">
        <v>2759</v>
      </c>
      <c r="IK32">
        <v>48</v>
      </c>
      <c r="IL32">
        <v>39</v>
      </c>
      <c r="IM32">
        <v>37</v>
      </c>
      <c r="IN32" t="s">
        <v>594</v>
      </c>
      <c r="IO32" t="s">
        <v>619</v>
      </c>
      <c r="IP32" t="s">
        <v>619</v>
      </c>
      <c r="IR32">
        <v>6</v>
      </c>
      <c r="IT32" t="s">
        <v>780</v>
      </c>
      <c r="IV32">
        <v>28475</v>
      </c>
      <c r="IW32">
        <v>28474</v>
      </c>
      <c r="IX32">
        <v>28477</v>
      </c>
      <c r="IY32">
        <v>222.04337899999999</v>
      </c>
      <c r="IZ32">
        <v>0</v>
      </c>
      <c r="JA32">
        <v>1.1000000000000001</v>
      </c>
      <c r="JB32">
        <v>0</v>
      </c>
      <c r="JC32">
        <v>1.1102160000000001</v>
      </c>
      <c r="JD32">
        <v>223.153595</v>
      </c>
      <c r="JE32">
        <v>224.25359499999999</v>
      </c>
      <c r="JF32">
        <v>99.014399999999995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74.8</v>
      </c>
      <c r="JM32">
        <v>9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7</v>
      </c>
      <c r="JU32">
        <v>0</v>
      </c>
      <c r="JV32">
        <v>0</v>
      </c>
      <c r="JW32">
        <v>444086.7585</v>
      </c>
      <c r="JX32">
        <v>2310</v>
      </c>
      <c r="JY32">
        <v>74.8</v>
      </c>
      <c r="JZ32">
        <v>9.0625</v>
      </c>
      <c r="KA32">
        <v>0</v>
      </c>
      <c r="KB32">
        <v>222.04337899999999</v>
      </c>
      <c r="KC32">
        <v>1.1102160000000001</v>
      </c>
      <c r="KD32">
        <v>0</v>
      </c>
      <c r="KE32">
        <v>0</v>
      </c>
      <c r="KF32">
        <v>0</v>
      </c>
      <c r="KG32">
        <v>1.1000000000000001</v>
      </c>
      <c r="KH32">
        <v>0</v>
      </c>
      <c r="KI32">
        <v>0</v>
      </c>
      <c r="KJ32" t="s">
        <v>587</v>
      </c>
      <c r="KK32">
        <v>0.28360000000000002</v>
      </c>
      <c r="KL32">
        <v>28475</v>
      </c>
      <c r="KM32">
        <v>201546</v>
      </c>
      <c r="KN32">
        <v>39191</v>
      </c>
      <c r="KP32">
        <v>153309</v>
      </c>
      <c r="KX32">
        <v>23711</v>
      </c>
      <c r="LD32">
        <v>36691</v>
      </c>
      <c r="MD32">
        <v>38910</v>
      </c>
      <c r="MP32">
        <v>107998</v>
      </c>
      <c r="MQ32">
        <v>28799</v>
      </c>
      <c r="MS32">
        <v>97149</v>
      </c>
      <c r="NG32">
        <v>28799</v>
      </c>
      <c r="NP32">
        <v>17999</v>
      </c>
      <c r="OG32">
        <v>28799</v>
      </c>
      <c r="PA32">
        <v>566</v>
      </c>
      <c r="PB32">
        <v>4023</v>
      </c>
      <c r="PC32">
        <v>266091</v>
      </c>
      <c r="PD32">
        <v>31672</v>
      </c>
      <c r="PE32">
        <v>5213</v>
      </c>
      <c r="PG32">
        <v>5</v>
      </c>
      <c r="PJ32">
        <v>8572</v>
      </c>
      <c r="PM32">
        <v>10080</v>
      </c>
      <c r="PN32">
        <v>3851</v>
      </c>
      <c r="PV32">
        <v>2538</v>
      </c>
      <c r="PW32">
        <v>5526</v>
      </c>
      <c r="PX32">
        <v>1544</v>
      </c>
      <c r="PY32">
        <v>4690</v>
      </c>
      <c r="QC32">
        <v>178</v>
      </c>
      <c r="QD32">
        <v>999</v>
      </c>
      <c r="QE32">
        <v>200</v>
      </c>
      <c r="QI32">
        <v>400</v>
      </c>
      <c r="QK32">
        <v>11</v>
      </c>
      <c r="QM32">
        <v>9</v>
      </c>
      <c r="QW32">
        <v>170</v>
      </c>
      <c r="SE32" s="1">
        <v>46086.322222222225</v>
      </c>
      <c r="SF32">
        <v>28475</v>
      </c>
      <c r="SG32">
        <v>408682</v>
      </c>
      <c r="SH32">
        <v>20</v>
      </c>
      <c r="SI32" t="s">
        <v>567</v>
      </c>
      <c r="SJ32">
        <v>50</v>
      </c>
      <c r="SK32" s="1">
        <v>46109.864444444444</v>
      </c>
      <c r="SZ32">
        <v>0.17699999999999999</v>
      </c>
      <c r="TA32">
        <v>1.339</v>
      </c>
      <c r="TB32">
        <v>1.14E-2</v>
      </c>
      <c r="TC32">
        <v>2.7000000000000001E-3</v>
      </c>
      <c r="TD32">
        <v>1.6E-2</v>
      </c>
      <c r="TE32">
        <v>0.104</v>
      </c>
      <c r="TF32">
        <v>6.4000000000000001E-2</v>
      </c>
      <c r="TG32">
        <v>9.0999999999999998E-2</v>
      </c>
      <c r="TH32">
        <v>0.01</v>
      </c>
      <c r="TI32">
        <v>2.7E-2</v>
      </c>
      <c r="TJ32">
        <v>7.0000000000000001E-3</v>
      </c>
      <c r="TK32">
        <v>2.9560399999999998</v>
      </c>
      <c r="TL32">
        <v>6.7000000000000004E-2</v>
      </c>
      <c r="TM32">
        <v>4.5199999999999997E-2</v>
      </c>
      <c r="TN32">
        <v>1.9E-3</v>
      </c>
      <c r="TO32">
        <v>2.2000000000000001E-3</v>
      </c>
      <c r="TP32" t="s">
        <v>569</v>
      </c>
      <c r="TQ32">
        <v>9.1000000000000004E-3</v>
      </c>
      <c r="TR32" t="s">
        <v>570</v>
      </c>
      <c r="TS32" t="s">
        <v>578</v>
      </c>
      <c r="TU32">
        <v>0.26219999999999999</v>
      </c>
      <c r="TV32">
        <v>6.7999999999999996E-3</v>
      </c>
      <c r="UD32">
        <v>0.44</v>
      </c>
      <c r="UE32">
        <v>0.44440000000000002</v>
      </c>
      <c r="UF32">
        <v>0.24</v>
      </c>
      <c r="UH32">
        <v>2.4000000000000001E-4</v>
      </c>
      <c r="UJ32">
        <v>0.28000000000000003</v>
      </c>
      <c r="UK32">
        <v>0.16</v>
      </c>
      <c r="UL32">
        <v>0.26</v>
      </c>
      <c r="UM32">
        <v>0.1144</v>
      </c>
      <c r="UN32">
        <v>0.26900000000000002</v>
      </c>
      <c r="UO32">
        <v>2.9159000000000002</v>
      </c>
      <c r="UP32">
        <v>1.1399999999999999</v>
      </c>
      <c r="UQ32">
        <v>0.88</v>
      </c>
      <c r="UR32" s="1">
        <v>46086.322222222225</v>
      </c>
    </row>
    <row r="33" spans="1:564" x14ac:dyDescent="0.35">
      <c r="A33">
        <v>28476</v>
      </c>
      <c r="B33">
        <v>18512</v>
      </c>
      <c r="C33">
        <v>850</v>
      </c>
      <c r="D33">
        <v>26133</v>
      </c>
      <c r="G33" t="s">
        <v>585</v>
      </c>
      <c r="H33">
        <v>500000</v>
      </c>
      <c r="L33" t="s">
        <v>586</v>
      </c>
      <c r="M33">
        <v>74.8</v>
      </c>
      <c r="N33">
        <v>330</v>
      </c>
      <c r="O33" t="s">
        <v>596</v>
      </c>
      <c r="P33">
        <v>15</v>
      </c>
      <c r="S33" s="1">
        <v>46109.679652777777</v>
      </c>
      <c r="U33">
        <v>87</v>
      </c>
      <c r="W33">
        <v>64</v>
      </c>
      <c r="X33">
        <v>495910</v>
      </c>
      <c r="Y33" s="1">
        <v>46109.785578703704</v>
      </c>
      <c r="AB33">
        <v>106085</v>
      </c>
      <c r="AC33">
        <v>296</v>
      </c>
      <c r="AD33">
        <v>1104</v>
      </c>
      <c r="AE33">
        <v>105180</v>
      </c>
      <c r="AF33">
        <v>0.2</v>
      </c>
      <c r="AG33">
        <v>171</v>
      </c>
      <c r="AH33">
        <v>2833</v>
      </c>
      <c r="AI33">
        <v>0.06</v>
      </c>
      <c r="AJ33">
        <v>593</v>
      </c>
      <c r="AK33">
        <v>2928</v>
      </c>
      <c r="AL33">
        <v>54</v>
      </c>
      <c r="AM33" t="s">
        <v>811</v>
      </c>
      <c r="AO33" s="1">
        <v>46109.870439814818</v>
      </c>
      <c r="AP33">
        <v>1</v>
      </c>
      <c r="AS33" s="1">
        <v>46109.790810185186</v>
      </c>
      <c r="AT33" s="1">
        <v>46109.870162037034</v>
      </c>
      <c r="AU33">
        <v>24</v>
      </c>
      <c r="AV33">
        <v>101</v>
      </c>
      <c r="AY33">
        <v>471906</v>
      </c>
      <c r="AZ33">
        <v>464179</v>
      </c>
      <c r="BA33">
        <v>2300</v>
      </c>
      <c r="BB33">
        <v>2930</v>
      </c>
      <c r="BC33">
        <v>2860</v>
      </c>
      <c r="BD33">
        <v>0</v>
      </c>
      <c r="BF33" t="s">
        <v>812</v>
      </c>
      <c r="BG33" s="1">
        <v>46109.870578703703</v>
      </c>
      <c r="BH33" s="1">
        <v>46109.877569444441</v>
      </c>
      <c r="BI33" s="1">
        <v>46109.912604166668</v>
      </c>
      <c r="BJ33" s="1">
        <v>46109.959872685184</v>
      </c>
      <c r="BK33">
        <v>1.1000000000000001</v>
      </c>
      <c r="BM33">
        <v>4122</v>
      </c>
      <c r="BT33" s="1">
        <v>46109.880347222221</v>
      </c>
      <c r="BU33" s="1">
        <v>46109.926180555558</v>
      </c>
      <c r="BV33" t="b">
        <v>0</v>
      </c>
      <c r="BX33">
        <v>8</v>
      </c>
      <c r="BY33" t="b">
        <v>0</v>
      </c>
      <c r="CD33">
        <v>1</v>
      </c>
      <c r="CF33" s="1">
        <v>46109.663194444445</v>
      </c>
      <c r="CG33" t="b">
        <v>0</v>
      </c>
      <c r="CH33" t="b">
        <v>0</v>
      </c>
      <c r="CI33" t="b">
        <v>0</v>
      </c>
      <c r="CJ33" t="b">
        <v>0</v>
      </c>
      <c r="CK33" t="b">
        <v>0</v>
      </c>
      <c r="CL33" t="b">
        <v>0</v>
      </c>
      <c r="CM33" t="b">
        <v>0</v>
      </c>
      <c r="CN33" t="b">
        <v>0</v>
      </c>
      <c r="CP33">
        <v>6</v>
      </c>
      <c r="CR33">
        <v>2</v>
      </c>
      <c r="CS33">
        <v>2799</v>
      </c>
      <c r="CT33">
        <v>2792</v>
      </c>
      <c r="CU33">
        <v>2785</v>
      </c>
      <c r="CZ33">
        <v>7.39</v>
      </c>
      <c r="DA33">
        <v>6.82</v>
      </c>
      <c r="DB33">
        <v>7.97</v>
      </c>
      <c r="DC33">
        <v>6.87</v>
      </c>
      <c r="DH33">
        <v>4441</v>
      </c>
      <c r="DI33">
        <v>4555</v>
      </c>
      <c r="DJ33">
        <v>415</v>
      </c>
      <c r="DK33">
        <v>416</v>
      </c>
      <c r="EB33" s="1">
        <v>46109.928553240738</v>
      </c>
      <c r="EG33" s="1">
        <v>46109.959872685184</v>
      </c>
      <c r="EJ33" s="1">
        <v>46110.318668981483</v>
      </c>
      <c r="EK33">
        <v>0.05</v>
      </c>
      <c r="EL33">
        <v>689</v>
      </c>
      <c r="EM33">
        <v>2964</v>
      </c>
      <c r="EN33">
        <v>0.04</v>
      </c>
      <c r="EO33">
        <v>1036</v>
      </c>
      <c r="EP33">
        <v>3042</v>
      </c>
      <c r="EQ33">
        <v>4.38</v>
      </c>
      <c r="ER33">
        <v>8</v>
      </c>
      <c r="ES33">
        <v>2930</v>
      </c>
      <c r="ET33">
        <v>0</v>
      </c>
      <c r="EU33">
        <v>0</v>
      </c>
      <c r="EV33">
        <v>2836</v>
      </c>
      <c r="EW33">
        <v>0</v>
      </c>
      <c r="EX33">
        <v>0</v>
      </c>
      <c r="EY33">
        <v>2896</v>
      </c>
      <c r="EZ33">
        <v>0</v>
      </c>
      <c r="FA33">
        <v>0</v>
      </c>
      <c r="FB33">
        <v>2856</v>
      </c>
      <c r="FC33">
        <v>5.6</v>
      </c>
      <c r="FJ33" t="s">
        <v>813</v>
      </c>
      <c r="FK33">
        <v>114</v>
      </c>
      <c r="FL33" s="1">
        <v>46110.318483796298</v>
      </c>
      <c r="FM33">
        <v>1206</v>
      </c>
      <c r="FN33" t="s">
        <v>587</v>
      </c>
      <c r="FO33" t="s">
        <v>587</v>
      </c>
      <c r="FP33">
        <v>1206</v>
      </c>
      <c r="FQ33" t="s">
        <v>587</v>
      </c>
      <c r="FR33" t="s">
        <v>587</v>
      </c>
      <c r="FS33" t="s">
        <v>588</v>
      </c>
      <c r="FT33" t="s">
        <v>582</v>
      </c>
      <c r="FV33" t="s">
        <v>573</v>
      </c>
      <c r="FW33" t="b">
        <v>0</v>
      </c>
      <c r="GA33" t="s">
        <v>814</v>
      </c>
      <c r="GB33">
        <v>18512</v>
      </c>
      <c r="GC33" s="1">
        <v>46109.880347222221</v>
      </c>
      <c r="GD33" t="s">
        <v>590</v>
      </c>
      <c r="GE33" t="s">
        <v>591</v>
      </c>
      <c r="GF33">
        <v>153</v>
      </c>
      <c r="GG33">
        <v>115</v>
      </c>
      <c r="GH33">
        <v>68</v>
      </c>
      <c r="GI33" t="s">
        <v>574</v>
      </c>
      <c r="GJ33">
        <v>247.96</v>
      </c>
      <c r="GL33">
        <v>1841</v>
      </c>
      <c r="GN33" t="s">
        <v>592</v>
      </c>
      <c r="GP33">
        <v>1841</v>
      </c>
      <c r="GR33" t="s">
        <v>592</v>
      </c>
      <c r="HI33" s="2">
        <v>46109</v>
      </c>
      <c r="HJ33" t="s">
        <v>593</v>
      </c>
      <c r="HK33" t="s">
        <v>519</v>
      </c>
      <c r="HM33">
        <v>3</v>
      </c>
      <c r="HN33">
        <v>1</v>
      </c>
      <c r="HV33">
        <v>1</v>
      </c>
      <c r="HW33" t="b">
        <v>0</v>
      </c>
      <c r="IB33">
        <v>2850</v>
      </c>
      <c r="IJ33">
        <v>2759</v>
      </c>
      <c r="IK33">
        <v>40</v>
      </c>
      <c r="IL33">
        <v>33</v>
      </c>
      <c r="IM33">
        <v>26</v>
      </c>
      <c r="IN33" t="s">
        <v>594</v>
      </c>
      <c r="IO33" t="s">
        <v>619</v>
      </c>
      <c r="IP33" t="s">
        <v>619</v>
      </c>
      <c r="IR33">
        <v>10</v>
      </c>
      <c r="IT33" t="s">
        <v>780</v>
      </c>
      <c r="IV33">
        <v>28476</v>
      </c>
      <c r="IW33">
        <v>28474</v>
      </c>
      <c r="IX33">
        <v>28477</v>
      </c>
      <c r="IY33">
        <v>253.76386199999999</v>
      </c>
      <c r="IZ33">
        <v>0</v>
      </c>
      <c r="JA33">
        <v>1.1000000000000001</v>
      </c>
      <c r="JB33">
        <v>0</v>
      </c>
      <c r="JC33">
        <v>1.2688189999999999</v>
      </c>
      <c r="JD33">
        <v>255.032681</v>
      </c>
      <c r="JE33">
        <v>256.13268099999999</v>
      </c>
      <c r="JF33">
        <v>99.075100000000006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74.8</v>
      </c>
      <c r="JM33">
        <v>9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8</v>
      </c>
      <c r="JU33">
        <v>0</v>
      </c>
      <c r="JV33">
        <v>0</v>
      </c>
      <c r="JW33">
        <v>507527.72399999999</v>
      </c>
      <c r="JX33">
        <v>2640</v>
      </c>
      <c r="JY33">
        <v>74.8</v>
      </c>
      <c r="JZ33">
        <v>9.0625</v>
      </c>
      <c r="KA33">
        <v>0</v>
      </c>
      <c r="KB33">
        <v>253.76386199999999</v>
      </c>
      <c r="KC33">
        <v>1.2688189999999999</v>
      </c>
      <c r="KD33">
        <v>0</v>
      </c>
      <c r="KE33">
        <v>0</v>
      </c>
      <c r="KF33">
        <v>0</v>
      </c>
      <c r="KG33">
        <v>1.1000000000000001</v>
      </c>
      <c r="KH33">
        <v>0</v>
      </c>
      <c r="KI33">
        <v>0</v>
      </c>
      <c r="KJ33" t="s">
        <v>587</v>
      </c>
      <c r="KK33">
        <v>0.28360000000000002</v>
      </c>
      <c r="KL33">
        <v>28476</v>
      </c>
      <c r="KM33">
        <v>265120</v>
      </c>
      <c r="KN33">
        <v>52200</v>
      </c>
      <c r="KP33">
        <v>171500</v>
      </c>
      <c r="KX33">
        <v>34680</v>
      </c>
      <c r="LD33">
        <v>55520</v>
      </c>
      <c r="MD33">
        <v>50000</v>
      </c>
      <c r="MP33">
        <v>197964</v>
      </c>
      <c r="MQ33">
        <v>52790</v>
      </c>
      <c r="MS33">
        <v>150973</v>
      </c>
      <c r="NG33">
        <v>52790</v>
      </c>
      <c r="NP33">
        <v>32994</v>
      </c>
      <c r="OG33">
        <v>52790</v>
      </c>
      <c r="PA33">
        <v>684</v>
      </c>
      <c r="PB33">
        <v>4072</v>
      </c>
      <c r="PC33">
        <v>458149</v>
      </c>
      <c r="PD33">
        <v>59703</v>
      </c>
      <c r="PE33">
        <v>9522</v>
      </c>
      <c r="PG33">
        <v>5</v>
      </c>
      <c r="PI33">
        <v>2</v>
      </c>
      <c r="PJ33">
        <v>14386</v>
      </c>
      <c r="PM33">
        <v>18218</v>
      </c>
      <c r="PN33">
        <v>3972</v>
      </c>
      <c r="PS33">
        <v>500</v>
      </c>
      <c r="PW33">
        <v>2146</v>
      </c>
      <c r="PX33">
        <v>1397</v>
      </c>
      <c r="PY33">
        <v>5191</v>
      </c>
      <c r="QD33">
        <v>599</v>
      </c>
      <c r="QE33">
        <v>949</v>
      </c>
      <c r="QK33">
        <v>8</v>
      </c>
      <c r="QM33">
        <v>8</v>
      </c>
      <c r="SE33" s="1">
        <v>46086.322222222225</v>
      </c>
      <c r="SF33">
        <v>28476</v>
      </c>
      <c r="SG33">
        <v>408708</v>
      </c>
      <c r="SH33">
        <v>20</v>
      </c>
      <c r="SI33" t="s">
        <v>567</v>
      </c>
      <c r="SJ33">
        <v>50</v>
      </c>
      <c r="SK33" s="1">
        <v>46109.911400462966</v>
      </c>
      <c r="SZ33">
        <v>0.18</v>
      </c>
      <c r="TA33">
        <v>1.32</v>
      </c>
      <c r="TB33">
        <v>1.06E-2</v>
      </c>
      <c r="TC33">
        <v>4.4999999999999997E-3</v>
      </c>
      <c r="TD33">
        <v>1.0999999999999999E-2</v>
      </c>
      <c r="TE33">
        <v>0.11799999999999999</v>
      </c>
      <c r="TF33">
        <v>0.05</v>
      </c>
      <c r="TG33">
        <v>0.107</v>
      </c>
      <c r="TH33">
        <v>1.2E-2</v>
      </c>
      <c r="TI33">
        <v>3.5000000000000003E-2</v>
      </c>
      <c r="TJ33">
        <v>8.0000000000000002E-3</v>
      </c>
      <c r="TK33">
        <v>4.0814000000000004</v>
      </c>
      <c r="TL33">
        <v>6.2E-2</v>
      </c>
      <c r="TM33">
        <v>4.58E-2</v>
      </c>
      <c r="TN33">
        <v>1.6000000000000001E-3</v>
      </c>
      <c r="TO33">
        <v>2E-3</v>
      </c>
      <c r="TP33" t="s">
        <v>569</v>
      </c>
      <c r="TQ33">
        <v>8.6E-3</v>
      </c>
      <c r="TR33" t="s">
        <v>570</v>
      </c>
      <c r="TS33" t="s">
        <v>578</v>
      </c>
      <c r="TU33">
        <v>0.26329999999999998</v>
      </c>
      <c r="TV33">
        <v>7.0000000000000001E-3</v>
      </c>
      <c r="UD33">
        <v>0.44</v>
      </c>
      <c r="UE33">
        <v>0.44140000000000001</v>
      </c>
      <c r="UF33">
        <v>0.23</v>
      </c>
      <c r="UH33">
        <v>2.9999999999999997E-4</v>
      </c>
      <c r="UJ33">
        <v>0.29820000000000002</v>
      </c>
      <c r="UK33">
        <v>0.18</v>
      </c>
      <c r="UL33">
        <v>0.28000000000000003</v>
      </c>
      <c r="UM33">
        <v>0.10979999999999999</v>
      </c>
      <c r="UN33">
        <v>0.28699999999999998</v>
      </c>
      <c r="UO33">
        <v>3.1760000000000002</v>
      </c>
      <c r="UP33">
        <v>1.1000000000000001</v>
      </c>
      <c r="UQ33">
        <v>0.91</v>
      </c>
      <c r="UR33" s="1">
        <v>46086.322222222225</v>
      </c>
    </row>
    <row r="34" spans="1:564" x14ac:dyDescent="0.35">
      <c r="A34">
        <v>28477</v>
      </c>
      <c r="B34">
        <v>18513</v>
      </c>
      <c r="C34">
        <v>850</v>
      </c>
      <c r="D34">
        <v>26133</v>
      </c>
      <c r="G34" t="s">
        <v>585</v>
      </c>
      <c r="H34">
        <v>500000</v>
      </c>
      <c r="L34" t="s">
        <v>586</v>
      </c>
      <c r="M34">
        <v>74.8</v>
      </c>
      <c r="N34">
        <v>330</v>
      </c>
      <c r="O34" t="s">
        <v>596</v>
      </c>
      <c r="P34">
        <v>16</v>
      </c>
      <c r="S34" s="1">
        <v>46109.785578703704</v>
      </c>
      <c r="U34">
        <v>75</v>
      </c>
      <c r="W34">
        <v>23</v>
      </c>
      <c r="X34">
        <v>495910</v>
      </c>
      <c r="Y34" s="1">
        <v>46109.853993055556</v>
      </c>
      <c r="AB34">
        <v>98128</v>
      </c>
      <c r="AC34">
        <v>297</v>
      </c>
      <c r="AD34">
        <v>1105</v>
      </c>
      <c r="AE34">
        <v>110979</v>
      </c>
      <c r="AF34">
        <v>0.12</v>
      </c>
      <c r="AG34">
        <v>274</v>
      </c>
      <c r="AH34">
        <v>2800</v>
      </c>
      <c r="AI34">
        <v>0.04</v>
      </c>
      <c r="AJ34">
        <v>825</v>
      </c>
      <c r="AK34">
        <v>2976</v>
      </c>
      <c r="AL34">
        <v>15</v>
      </c>
      <c r="AM34" t="s">
        <v>815</v>
      </c>
      <c r="AO34" s="1">
        <v>46109.866620370369</v>
      </c>
      <c r="AP34">
        <v>2</v>
      </c>
      <c r="AS34" s="1">
        <v>46109.859143518515</v>
      </c>
      <c r="AT34" s="1">
        <v>46109.924039351848</v>
      </c>
      <c r="AU34">
        <v>16</v>
      </c>
      <c r="AV34">
        <v>81</v>
      </c>
      <c r="AY34">
        <v>476456</v>
      </c>
      <c r="AZ34">
        <v>467895</v>
      </c>
      <c r="BA34">
        <v>1580</v>
      </c>
      <c r="BB34">
        <v>2937</v>
      </c>
      <c r="BC34">
        <v>2854</v>
      </c>
      <c r="BD34">
        <v>0</v>
      </c>
      <c r="BG34" s="1">
        <v>46109.924432870372</v>
      </c>
      <c r="BH34" s="1">
        <v>46109.924432870372</v>
      </c>
      <c r="BI34" s="1">
        <v>46109.95988425926</v>
      </c>
      <c r="BJ34" s="1">
        <v>46110.009432870371</v>
      </c>
      <c r="BK34">
        <v>1.1000000000000001</v>
      </c>
      <c r="BL34">
        <v>7</v>
      </c>
      <c r="BM34">
        <v>4122</v>
      </c>
      <c r="BT34" s="1">
        <v>46109.927210648151</v>
      </c>
      <c r="BU34" s="1">
        <v>46109.971655092595</v>
      </c>
      <c r="BV34" t="b">
        <v>0</v>
      </c>
      <c r="BX34">
        <v>8</v>
      </c>
      <c r="BY34" t="b">
        <v>0</v>
      </c>
      <c r="CD34">
        <v>1</v>
      </c>
      <c r="CF34" s="1">
        <v>46109.663680555554</v>
      </c>
      <c r="CG34" t="b">
        <v>0</v>
      </c>
      <c r="CH34" t="b">
        <v>0</v>
      </c>
      <c r="CI34" t="b">
        <v>0</v>
      </c>
      <c r="CJ34" t="b">
        <v>0</v>
      </c>
      <c r="CK34" t="b">
        <v>0</v>
      </c>
      <c r="CL34" t="b">
        <v>0</v>
      </c>
      <c r="CM34" t="b">
        <v>0</v>
      </c>
      <c r="CN34" t="b">
        <v>0</v>
      </c>
      <c r="CP34">
        <v>6</v>
      </c>
      <c r="CR34">
        <v>2</v>
      </c>
      <c r="CS34">
        <v>2781</v>
      </c>
      <c r="CT34">
        <v>2795</v>
      </c>
      <c r="CU34">
        <v>2794</v>
      </c>
      <c r="CZ34">
        <v>6.7</v>
      </c>
      <c r="DA34">
        <v>6.3</v>
      </c>
      <c r="DB34">
        <v>8.44</v>
      </c>
      <c r="DC34">
        <v>6.89</v>
      </c>
      <c r="DH34">
        <v>4452</v>
      </c>
      <c r="DI34">
        <v>4448</v>
      </c>
      <c r="DJ34">
        <v>415</v>
      </c>
      <c r="DK34">
        <v>416</v>
      </c>
      <c r="EB34" s="1">
        <v>46109.985254629632</v>
      </c>
      <c r="EF34">
        <v>38</v>
      </c>
      <c r="EG34" s="1">
        <v>46110.009432870371</v>
      </c>
      <c r="EJ34" s="1">
        <v>46110.320081018515</v>
      </c>
      <c r="EK34">
        <v>0.04</v>
      </c>
      <c r="EL34">
        <v>838</v>
      </c>
      <c r="EM34">
        <v>3025</v>
      </c>
      <c r="EQ34">
        <v>7.03</v>
      </c>
      <c r="ER34">
        <v>5</v>
      </c>
      <c r="ES34">
        <v>2937</v>
      </c>
      <c r="ET34">
        <v>0</v>
      </c>
      <c r="EU34">
        <v>0</v>
      </c>
      <c r="EV34">
        <v>2869</v>
      </c>
      <c r="EW34">
        <v>0</v>
      </c>
      <c r="EX34">
        <v>0</v>
      </c>
      <c r="EY34">
        <v>2860</v>
      </c>
      <c r="EZ34">
        <v>0</v>
      </c>
      <c r="FA34">
        <v>0</v>
      </c>
      <c r="FB34">
        <v>32</v>
      </c>
      <c r="FC34">
        <v>6.3</v>
      </c>
      <c r="FJ34" t="s">
        <v>816</v>
      </c>
      <c r="FK34">
        <v>97</v>
      </c>
      <c r="FL34" s="1">
        <v>46110.319872685184</v>
      </c>
      <c r="FM34">
        <v>1206</v>
      </c>
      <c r="FN34" t="s">
        <v>587</v>
      </c>
      <c r="FO34" t="s">
        <v>587</v>
      </c>
      <c r="FP34">
        <v>1206</v>
      </c>
      <c r="FQ34" t="s">
        <v>587</v>
      </c>
      <c r="FR34" t="s">
        <v>587</v>
      </c>
      <c r="FS34" t="s">
        <v>588</v>
      </c>
      <c r="FV34" t="s">
        <v>573</v>
      </c>
      <c r="FW34" t="b">
        <v>0</v>
      </c>
      <c r="GA34" t="s">
        <v>817</v>
      </c>
      <c r="GB34">
        <v>18513</v>
      </c>
      <c r="GC34" s="1">
        <v>46109.927210648151</v>
      </c>
      <c r="GD34" t="s">
        <v>590</v>
      </c>
      <c r="GE34" t="s">
        <v>591</v>
      </c>
      <c r="GF34">
        <v>98</v>
      </c>
      <c r="GG34">
        <v>93</v>
      </c>
      <c r="GH34">
        <v>71</v>
      </c>
      <c r="GI34" t="s">
        <v>565</v>
      </c>
      <c r="GJ34">
        <v>247.96</v>
      </c>
      <c r="GL34">
        <v>1841</v>
      </c>
      <c r="GN34" t="s">
        <v>592</v>
      </c>
      <c r="GP34">
        <v>1841</v>
      </c>
      <c r="GR34" t="s">
        <v>592</v>
      </c>
      <c r="GT34">
        <v>1940</v>
      </c>
      <c r="GV34">
        <v>9.6999999999999993</v>
      </c>
      <c r="GX34">
        <v>8.6999999999999993</v>
      </c>
      <c r="GZ34">
        <v>8.3000000000000007</v>
      </c>
      <c r="HB34">
        <v>8</v>
      </c>
      <c r="HD34">
        <v>74.75</v>
      </c>
      <c r="HF34">
        <v>75</v>
      </c>
      <c r="HI34" s="2">
        <v>46109</v>
      </c>
      <c r="HJ34" t="s">
        <v>593</v>
      </c>
      <c r="HK34" t="s">
        <v>519</v>
      </c>
      <c r="HM34">
        <v>4</v>
      </c>
      <c r="HN34">
        <v>1</v>
      </c>
      <c r="HV34">
        <v>1</v>
      </c>
      <c r="HW34" t="b">
        <v>1</v>
      </c>
      <c r="HX34" s="1">
        <v>46109.981550925928</v>
      </c>
      <c r="HY34" t="b">
        <v>0</v>
      </c>
      <c r="IB34">
        <v>2850</v>
      </c>
      <c r="IJ34">
        <v>2759</v>
      </c>
      <c r="IK34">
        <v>22</v>
      </c>
      <c r="IL34">
        <v>36</v>
      </c>
      <c r="IM34">
        <v>35</v>
      </c>
      <c r="IN34" t="s">
        <v>594</v>
      </c>
      <c r="IO34" t="s">
        <v>619</v>
      </c>
      <c r="IP34" t="s">
        <v>619</v>
      </c>
      <c r="IT34" t="s">
        <v>780</v>
      </c>
      <c r="IU34" s="1">
        <v>46110.008414351854</v>
      </c>
      <c r="IV34">
        <v>28477</v>
      </c>
      <c r="IW34">
        <v>28474</v>
      </c>
      <c r="IX34">
        <v>28477</v>
      </c>
      <c r="IY34">
        <v>238.19198800000001</v>
      </c>
      <c r="IZ34">
        <v>3.6526610000000002</v>
      </c>
      <c r="JA34">
        <v>8.1</v>
      </c>
      <c r="JB34">
        <v>0</v>
      </c>
      <c r="JC34">
        <v>1.2092229999999999</v>
      </c>
      <c r="JD34">
        <v>243.05387200000001</v>
      </c>
      <c r="JE34">
        <v>251.15387200000001</v>
      </c>
      <c r="JF34">
        <v>94.838999999999999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74.8</v>
      </c>
      <c r="JM34">
        <v>9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8</v>
      </c>
      <c r="JU34">
        <v>0</v>
      </c>
      <c r="JV34">
        <v>38</v>
      </c>
      <c r="JW34">
        <v>476383.97730000003</v>
      </c>
      <c r="JX34">
        <v>2478</v>
      </c>
      <c r="JY34">
        <v>74.8</v>
      </c>
      <c r="JZ34">
        <v>9.0625</v>
      </c>
      <c r="KA34">
        <v>38</v>
      </c>
      <c r="KB34">
        <v>238.19198800000001</v>
      </c>
      <c r="KC34">
        <v>1.2092229999999999</v>
      </c>
      <c r="KD34">
        <v>3.6526610000000002</v>
      </c>
      <c r="KE34">
        <v>0</v>
      </c>
      <c r="KF34">
        <v>7305.3233</v>
      </c>
      <c r="KG34">
        <v>1.1000000000000001</v>
      </c>
      <c r="KH34">
        <v>7</v>
      </c>
      <c r="KI34">
        <v>0</v>
      </c>
      <c r="KJ34" t="s">
        <v>587</v>
      </c>
      <c r="KK34">
        <v>0.28360000000000002</v>
      </c>
      <c r="KL34">
        <v>28477</v>
      </c>
      <c r="KM34">
        <v>245080</v>
      </c>
      <c r="KN34">
        <v>49640</v>
      </c>
      <c r="KP34">
        <v>185620</v>
      </c>
      <c r="KX34">
        <v>31160</v>
      </c>
      <c r="LD34">
        <v>49440</v>
      </c>
      <c r="MD34">
        <v>45080</v>
      </c>
      <c r="MP34">
        <v>228099</v>
      </c>
      <c r="MQ34">
        <v>48799</v>
      </c>
      <c r="MS34">
        <v>189098</v>
      </c>
      <c r="NG34">
        <v>48799</v>
      </c>
      <c r="NP34">
        <v>30499</v>
      </c>
      <c r="OG34">
        <v>48799</v>
      </c>
      <c r="PA34">
        <v>586</v>
      </c>
      <c r="PB34">
        <v>4061</v>
      </c>
      <c r="PC34">
        <v>422656</v>
      </c>
      <c r="PD34">
        <v>42890</v>
      </c>
      <c r="PE34">
        <v>9785</v>
      </c>
      <c r="PG34">
        <v>3</v>
      </c>
      <c r="PJ34">
        <v>11236</v>
      </c>
      <c r="PM34">
        <v>15549</v>
      </c>
      <c r="PN34">
        <v>4379</v>
      </c>
      <c r="PS34">
        <v>500</v>
      </c>
      <c r="PW34">
        <v>3545</v>
      </c>
      <c r="PX34">
        <v>836</v>
      </c>
      <c r="PY34">
        <v>4097</v>
      </c>
      <c r="QD34">
        <v>400</v>
      </c>
      <c r="QE34">
        <v>849</v>
      </c>
      <c r="QI34">
        <v>150</v>
      </c>
      <c r="QK34">
        <v>6</v>
      </c>
      <c r="QM34">
        <v>7</v>
      </c>
      <c r="QN34">
        <v>345</v>
      </c>
      <c r="QX34">
        <v>340</v>
      </c>
      <c r="QY34">
        <v>100</v>
      </c>
      <c r="SE34" s="1">
        <v>46086.322222222225</v>
      </c>
      <c r="SF34">
        <v>28477</v>
      </c>
      <c r="SG34">
        <v>408724</v>
      </c>
      <c r="SH34">
        <v>20</v>
      </c>
      <c r="SI34" t="s">
        <v>567</v>
      </c>
      <c r="SJ34">
        <v>50</v>
      </c>
      <c r="SK34" s="1">
        <v>46109.971458333333</v>
      </c>
      <c r="SZ34">
        <v>0.17299999999999999</v>
      </c>
      <c r="TA34">
        <v>1.3109999999999999</v>
      </c>
      <c r="TB34">
        <v>1.0699999999999999E-2</v>
      </c>
      <c r="TC34">
        <v>5.1999999999999998E-3</v>
      </c>
      <c r="TD34">
        <v>1.7000000000000001E-2</v>
      </c>
      <c r="TE34">
        <v>9.4E-2</v>
      </c>
      <c r="TF34">
        <v>6.5000000000000002E-2</v>
      </c>
      <c r="TG34">
        <v>7.0000000000000007E-2</v>
      </c>
      <c r="TH34">
        <v>0.01</v>
      </c>
      <c r="TI34">
        <v>2.8000000000000001E-2</v>
      </c>
      <c r="TJ34">
        <v>0.01</v>
      </c>
      <c r="TK34">
        <v>3.69333</v>
      </c>
      <c r="TL34">
        <v>6.3E-2</v>
      </c>
      <c r="TM34">
        <v>4.3200000000000002E-2</v>
      </c>
      <c r="TN34">
        <v>1.5E-3</v>
      </c>
      <c r="TO34">
        <v>2.7000000000000001E-3</v>
      </c>
      <c r="TP34" t="s">
        <v>569</v>
      </c>
      <c r="TQ34">
        <v>7.4999999999999997E-3</v>
      </c>
      <c r="TR34" t="s">
        <v>570</v>
      </c>
      <c r="TS34" t="s">
        <v>578</v>
      </c>
      <c r="TU34">
        <v>0.25559999999999999</v>
      </c>
      <c r="TV34">
        <v>6.7000000000000002E-3</v>
      </c>
      <c r="UD34">
        <v>0.43</v>
      </c>
      <c r="UE34">
        <v>0.43319999999999997</v>
      </c>
      <c r="UF34">
        <v>0.36</v>
      </c>
      <c r="UH34">
        <v>2.1000000000000001E-4</v>
      </c>
      <c r="UJ34">
        <v>0.25290000000000001</v>
      </c>
      <c r="UK34">
        <v>0.17</v>
      </c>
      <c r="UL34">
        <v>0.23</v>
      </c>
      <c r="UM34">
        <v>0.1089</v>
      </c>
      <c r="UN34">
        <v>0.23899999999999999</v>
      </c>
      <c r="UO34">
        <v>2.6545000000000001</v>
      </c>
      <c r="UP34">
        <v>1.34</v>
      </c>
      <c r="UQ34">
        <v>0.74</v>
      </c>
      <c r="UR34" s="1">
        <v>46086.322222222225</v>
      </c>
    </row>
    <row r="35" spans="1:564" x14ac:dyDescent="0.35">
      <c r="A35">
        <v>28478</v>
      </c>
      <c r="B35">
        <v>18515</v>
      </c>
      <c r="C35">
        <v>850</v>
      </c>
      <c r="D35">
        <v>26134</v>
      </c>
      <c r="G35" t="s">
        <v>668</v>
      </c>
      <c r="H35">
        <v>500000</v>
      </c>
      <c r="L35" t="s">
        <v>586</v>
      </c>
      <c r="M35">
        <v>74.8</v>
      </c>
      <c r="N35">
        <v>330</v>
      </c>
      <c r="O35" t="s">
        <v>596</v>
      </c>
      <c r="P35">
        <v>18</v>
      </c>
      <c r="S35" s="1">
        <v>46109.906145833331</v>
      </c>
      <c r="U35">
        <v>55</v>
      </c>
      <c r="W35">
        <v>12</v>
      </c>
      <c r="X35">
        <v>495910</v>
      </c>
      <c r="Y35" s="1">
        <v>46109.953784722224</v>
      </c>
      <c r="AB35">
        <v>70762</v>
      </c>
      <c r="AC35">
        <v>299</v>
      </c>
      <c r="AD35">
        <v>1107</v>
      </c>
      <c r="AE35">
        <v>136178</v>
      </c>
      <c r="AF35">
        <v>0.1</v>
      </c>
      <c r="AG35">
        <v>351</v>
      </c>
      <c r="AH35">
        <v>2852</v>
      </c>
      <c r="AI35">
        <v>0.05</v>
      </c>
      <c r="AJ35">
        <v>746</v>
      </c>
      <c r="AK35">
        <v>2980</v>
      </c>
      <c r="AL35">
        <v>4</v>
      </c>
      <c r="AM35" t="s">
        <v>604</v>
      </c>
      <c r="AO35" s="1">
        <v>46109.961793981478</v>
      </c>
      <c r="AP35">
        <v>2</v>
      </c>
      <c r="AS35" s="1">
        <v>46109.960312499999</v>
      </c>
      <c r="AT35" s="1">
        <v>46110.064513888887</v>
      </c>
      <c r="AU35">
        <v>33</v>
      </c>
      <c r="AV35">
        <v>132</v>
      </c>
      <c r="AY35">
        <v>497664</v>
      </c>
      <c r="AZ35">
        <v>490051</v>
      </c>
      <c r="BA35">
        <v>4830</v>
      </c>
      <c r="BB35">
        <v>2922</v>
      </c>
      <c r="BC35">
        <v>2847</v>
      </c>
      <c r="BD35">
        <v>0</v>
      </c>
      <c r="BG35" s="1">
        <v>46110.064745370371</v>
      </c>
      <c r="BH35" s="1">
        <v>46110.077314814815</v>
      </c>
      <c r="BI35" s="1">
        <v>46110.120636574073</v>
      </c>
      <c r="BJ35" s="1">
        <v>46110.174664351849</v>
      </c>
      <c r="BK35">
        <v>1.1000000000000001</v>
      </c>
      <c r="BM35">
        <v>4123</v>
      </c>
      <c r="BT35" s="1">
        <v>46110.087037037039</v>
      </c>
      <c r="BU35" s="1">
        <v>46110.138425925928</v>
      </c>
      <c r="BV35" t="b">
        <v>0</v>
      </c>
      <c r="BX35">
        <v>6</v>
      </c>
      <c r="BY35" t="b">
        <v>0</v>
      </c>
      <c r="CD35">
        <v>0.9</v>
      </c>
      <c r="CF35" s="1">
        <v>46109.986238425925</v>
      </c>
      <c r="CG35" t="b">
        <v>0</v>
      </c>
      <c r="CH35" t="b">
        <v>0</v>
      </c>
      <c r="CI35" t="b">
        <v>0</v>
      </c>
      <c r="CJ35" t="b">
        <v>0</v>
      </c>
      <c r="CK35" t="b">
        <v>0</v>
      </c>
      <c r="CL35" t="b">
        <v>0</v>
      </c>
      <c r="CM35" t="b">
        <v>0</v>
      </c>
      <c r="CN35" t="b">
        <v>0</v>
      </c>
      <c r="CP35">
        <v>6</v>
      </c>
      <c r="CR35">
        <v>2</v>
      </c>
      <c r="CS35">
        <v>2796</v>
      </c>
      <c r="CT35">
        <v>2777</v>
      </c>
      <c r="CU35">
        <v>2768</v>
      </c>
      <c r="CZ35">
        <v>5.72</v>
      </c>
      <c r="DA35">
        <v>5.67</v>
      </c>
      <c r="DB35">
        <v>8.02</v>
      </c>
      <c r="DC35">
        <v>7.17</v>
      </c>
      <c r="DH35">
        <v>4436</v>
      </c>
      <c r="DI35">
        <v>4450</v>
      </c>
      <c r="DJ35">
        <v>415</v>
      </c>
      <c r="DK35">
        <v>417</v>
      </c>
      <c r="EB35" s="1">
        <v>46110.138738425929</v>
      </c>
      <c r="EG35" s="1">
        <v>46110.174664351849</v>
      </c>
      <c r="EJ35" s="1">
        <v>46110.919710648152</v>
      </c>
      <c r="EK35">
        <v>0.04</v>
      </c>
      <c r="EL35">
        <v>961</v>
      </c>
      <c r="EM35">
        <v>3012</v>
      </c>
      <c r="EQ35">
        <v>4.9800000000000004</v>
      </c>
      <c r="ER35">
        <v>7</v>
      </c>
      <c r="ES35">
        <v>2922</v>
      </c>
      <c r="ET35">
        <v>0</v>
      </c>
      <c r="EU35">
        <v>0</v>
      </c>
      <c r="EV35">
        <v>2898</v>
      </c>
      <c r="EW35">
        <v>0</v>
      </c>
      <c r="EX35">
        <v>0</v>
      </c>
      <c r="EY35">
        <v>2904</v>
      </c>
      <c r="EZ35">
        <v>0</v>
      </c>
      <c r="FA35">
        <v>0</v>
      </c>
      <c r="FB35">
        <v>2844</v>
      </c>
      <c r="FC35">
        <v>7.5</v>
      </c>
      <c r="FJ35" t="s">
        <v>823</v>
      </c>
      <c r="FK35">
        <v>114</v>
      </c>
      <c r="FL35" s="1">
        <v>46110.322893518518</v>
      </c>
      <c r="FM35">
        <v>108</v>
      </c>
      <c r="FN35" t="s">
        <v>669</v>
      </c>
      <c r="FO35" t="s">
        <v>669</v>
      </c>
      <c r="FP35">
        <v>108</v>
      </c>
      <c r="FQ35" t="s">
        <v>669</v>
      </c>
      <c r="FR35" t="s">
        <v>669</v>
      </c>
      <c r="FS35" t="s">
        <v>670</v>
      </c>
      <c r="FT35" t="s">
        <v>580</v>
      </c>
      <c r="FV35" t="s">
        <v>573</v>
      </c>
      <c r="FW35" t="b">
        <v>0</v>
      </c>
      <c r="GA35" t="s">
        <v>824</v>
      </c>
      <c r="GB35">
        <v>18515</v>
      </c>
      <c r="GC35" s="1">
        <v>46110.087037037039</v>
      </c>
      <c r="GD35" t="s">
        <v>590</v>
      </c>
      <c r="GE35" t="s">
        <v>591</v>
      </c>
      <c r="GF35">
        <v>69</v>
      </c>
      <c r="GG35">
        <v>150</v>
      </c>
      <c r="GH35">
        <v>78</v>
      </c>
      <c r="GI35" t="s">
        <v>565</v>
      </c>
      <c r="GJ35">
        <v>247.96</v>
      </c>
      <c r="GL35">
        <v>1887</v>
      </c>
      <c r="GN35" t="s">
        <v>671</v>
      </c>
      <c r="GP35">
        <v>1887</v>
      </c>
      <c r="GR35" t="s">
        <v>671</v>
      </c>
      <c r="HI35" s="2">
        <v>46110</v>
      </c>
      <c r="HJ35" t="s">
        <v>593</v>
      </c>
      <c r="HK35" t="s">
        <v>519</v>
      </c>
      <c r="HM35">
        <v>2</v>
      </c>
      <c r="HN35">
        <v>2</v>
      </c>
      <c r="HV35">
        <v>1</v>
      </c>
      <c r="HW35" t="b">
        <v>0</v>
      </c>
      <c r="IB35">
        <v>2845</v>
      </c>
      <c r="IJ35">
        <v>2753</v>
      </c>
      <c r="IK35">
        <v>43</v>
      </c>
      <c r="IL35">
        <v>24</v>
      </c>
      <c r="IM35">
        <v>15</v>
      </c>
      <c r="IN35" t="s">
        <v>594</v>
      </c>
      <c r="IO35" t="s">
        <v>619</v>
      </c>
      <c r="IP35" t="s">
        <v>619</v>
      </c>
      <c r="IR35">
        <v>6</v>
      </c>
      <c r="IT35" t="s">
        <v>822</v>
      </c>
      <c r="IV35">
        <v>28478</v>
      </c>
      <c r="IW35">
        <v>28461</v>
      </c>
      <c r="IX35">
        <v>28484</v>
      </c>
      <c r="IY35">
        <v>285.48434400000002</v>
      </c>
      <c r="IZ35">
        <v>0</v>
      </c>
      <c r="JA35">
        <v>1.1000000000000001</v>
      </c>
      <c r="JB35">
        <v>0</v>
      </c>
      <c r="JC35">
        <v>1.4274210000000001</v>
      </c>
      <c r="JD35">
        <v>286.911765</v>
      </c>
      <c r="JE35">
        <v>288.01176500000003</v>
      </c>
      <c r="JF35">
        <v>99.122399999999999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74.8</v>
      </c>
      <c r="JM35">
        <v>9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9</v>
      </c>
      <c r="JU35">
        <v>0</v>
      </c>
      <c r="JV35">
        <v>0</v>
      </c>
      <c r="JW35">
        <v>570968.68949999998</v>
      </c>
      <c r="JX35">
        <v>2970</v>
      </c>
      <c r="JY35">
        <v>74.8</v>
      </c>
      <c r="JZ35">
        <v>9.0625</v>
      </c>
      <c r="KA35">
        <v>0</v>
      </c>
      <c r="KB35">
        <v>285.48434400000002</v>
      </c>
      <c r="KC35">
        <v>1.4274210000000001</v>
      </c>
      <c r="KD35">
        <v>0</v>
      </c>
      <c r="KE35">
        <v>0</v>
      </c>
      <c r="KF35">
        <v>0</v>
      </c>
      <c r="KG35">
        <v>1.1000000000000001</v>
      </c>
      <c r="KH35">
        <v>0</v>
      </c>
      <c r="KI35">
        <v>0</v>
      </c>
      <c r="KJ35" t="s">
        <v>669</v>
      </c>
      <c r="KK35">
        <v>0.28360000000000002</v>
      </c>
      <c r="KL35">
        <v>28478</v>
      </c>
      <c r="KM35">
        <v>126975</v>
      </c>
      <c r="KN35">
        <v>41143</v>
      </c>
      <c r="KP35">
        <v>233265</v>
      </c>
      <c r="KT35">
        <v>125556</v>
      </c>
      <c r="KW35">
        <v>52010</v>
      </c>
      <c r="MD35">
        <v>54677</v>
      </c>
      <c r="MP35">
        <v>89999</v>
      </c>
      <c r="MQ35">
        <v>31499</v>
      </c>
      <c r="MS35">
        <v>166616</v>
      </c>
      <c r="MW35">
        <v>85499</v>
      </c>
      <c r="MZ35">
        <v>35999</v>
      </c>
      <c r="OG35">
        <v>40499</v>
      </c>
      <c r="OT35">
        <v>3697</v>
      </c>
      <c r="PA35">
        <v>595</v>
      </c>
      <c r="PB35">
        <v>4081</v>
      </c>
      <c r="PC35">
        <v>334615</v>
      </c>
      <c r="PD35">
        <v>34741</v>
      </c>
      <c r="PE35">
        <v>7233</v>
      </c>
      <c r="PG35">
        <v>3</v>
      </c>
      <c r="PJ35">
        <v>10599</v>
      </c>
      <c r="PM35">
        <v>13545</v>
      </c>
      <c r="PN35">
        <v>2224</v>
      </c>
      <c r="PS35">
        <v>500</v>
      </c>
      <c r="PT35">
        <v>653</v>
      </c>
      <c r="PW35">
        <v>5484</v>
      </c>
      <c r="PX35">
        <v>894</v>
      </c>
      <c r="PY35">
        <v>947</v>
      </c>
      <c r="QD35">
        <v>549</v>
      </c>
      <c r="QE35">
        <v>949</v>
      </c>
      <c r="QG35">
        <v>120</v>
      </c>
      <c r="QI35">
        <v>220</v>
      </c>
      <c r="QK35">
        <v>6</v>
      </c>
      <c r="QM35">
        <v>11</v>
      </c>
      <c r="QS35">
        <v>203</v>
      </c>
      <c r="QT35">
        <v>450</v>
      </c>
      <c r="QW35">
        <v>195</v>
      </c>
      <c r="QX35">
        <v>400</v>
      </c>
      <c r="QY35">
        <v>415</v>
      </c>
      <c r="SE35" s="1">
        <v>46086.322222222225</v>
      </c>
      <c r="SF35">
        <v>28478</v>
      </c>
      <c r="SG35">
        <v>408791</v>
      </c>
      <c r="SH35">
        <v>20</v>
      </c>
      <c r="SI35" t="s">
        <v>567</v>
      </c>
      <c r="SJ35">
        <v>50</v>
      </c>
      <c r="SK35" s="1">
        <v>46110.132222222222</v>
      </c>
      <c r="SZ35">
        <v>0.21299999999999999</v>
      </c>
      <c r="TA35">
        <v>1.373</v>
      </c>
      <c r="TB35">
        <v>1.0699999999999999E-2</v>
      </c>
      <c r="TC35" t="s">
        <v>568</v>
      </c>
      <c r="TD35">
        <v>0.184</v>
      </c>
      <c r="TE35">
        <v>0.11899999999999999</v>
      </c>
      <c r="TF35">
        <v>0.16200000000000001</v>
      </c>
      <c r="TG35">
        <v>0.111</v>
      </c>
      <c r="TH35">
        <v>1.4E-2</v>
      </c>
      <c r="TI35">
        <v>3.2000000000000001E-2</v>
      </c>
      <c r="TJ35">
        <v>8.9999999999999993E-3</v>
      </c>
      <c r="TK35">
        <v>3.36842</v>
      </c>
      <c r="TL35">
        <v>6.3E-2</v>
      </c>
      <c r="TM35">
        <v>1.9E-3</v>
      </c>
      <c r="TN35">
        <v>1.6000000000000001E-3</v>
      </c>
      <c r="TO35">
        <v>9.5999999999999992E-3</v>
      </c>
      <c r="TP35" t="s">
        <v>569</v>
      </c>
      <c r="TQ35">
        <v>9.4999999999999998E-3</v>
      </c>
      <c r="TR35">
        <v>2.0000000000000001E-4</v>
      </c>
      <c r="TS35" t="s">
        <v>578</v>
      </c>
      <c r="TU35">
        <v>0.31140000000000001</v>
      </c>
      <c r="TV35">
        <v>7.0000000000000001E-3</v>
      </c>
      <c r="UD35">
        <v>0.5</v>
      </c>
      <c r="UE35">
        <v>0.53510000000000002</v>
      </c>
      <c r="UF35">
        <v>1.01</v>
      </c>
      <c r="UH35">
        <v>2.9999999999999997E-4</v>
      </c>
      <c r="UJ35">
        <v>0.42649999999999999</v>
      </c>
      <c r="UK35">
        <v>0.19</v>
      </c>
      <c r="UL35">
        <v>0.39</v>
      </c>
      <c r="UM35">
        <v>7.4499999999999997E-2</v>
      </c>
      <c r="UN35">
        <v>0.40600000000000003</v>
      </c>
      <c r="UO35">
        <v>3.5988000000000002</v>
      </c>
      <c r="UP35">
        <v>1.07</v>
      </c>
      <c r="UQ35">
        <v>0.93</v>
      </c>
      <c r="UR35" s="1">
        <v>46086.322222222225</v>
      </c>
    </row>
    <row r="36" spans="1:564" x14ac:dyDescent="0.35">
      <c r="A36">
        <v>28479</v>
      </c>
      <c r="B36">
        <v>18516</v>
      </c>
      <c r="C36">
        <v>850</v>
      </c>
      <c r="D36">
        <v>26134</v>
      </c>
      <c r="G36" t="s">
        <v>668</v>
      </c>
      <c r="H36">
        <v>500000</v>
      </c>
      <c r="L36" t="s">
        <v>586</v>
      </c>
      <c r="M36">
        <v>74.8</v>
      </c>
      <c r="N36">
        <v>330</v>
      </c>
      <c r="O36" t="s">
        <v>596</v>
      </c>
      <c r="P36">
        <v>19</v>
      </c>
      <c r="S36" s="1">
        <v>46109.953784722224</v>
      </c>
      <c r="U36">
        <v>82</v>
      </c>
      <c r="W36">
        <v>37</v>
      </c>
      <c r="X36">
        <v>495910</v>
      </c>
      <c r="Y36" s="1">
        <v>46110.036886574075</v>
      </c>
      <c r="AB36">
        <v>103674</v>
      </c>
      <c r="AC36">
        <v>300</v>
      </c>
      <c r="AD36">
        <v>1108</v>
      </c>
      <c r="AE36">
        <v>45194</v>
      </c>
      <c r="AF36">
        <v>7.0000000000000007E-2</v>
      </c>
      <c r="AG36">
        <v>473</v>
      </c>
      <c r="AH36">
        <v>2833</v>
      </c>
      <c r="AI36">
        <v>0.03</v>
      </c>
      <c r="AJ36">
        <v>1064</v>
      </c>
      <c r="AK36">
        <v>2987</v>
      </c>
      <c r="AL36">
        <v>27</v>
      </c>
      <c r="AM36" t="s">
        <v>825</v>
      </c>
      <c r="AN36" t="s">
        <v>826</v>
      </c>
      <c r="AO36" s="1">
        <v>46110.1250462963</v>
      </c>
      <c r="AP36">
        <v>1</v>
      </c>
      <c r="AS36" s="1">
        <v>46110.041481481479</v>
      </c>
      <c r="AT36" s="1">
        <v>46110.124976851854</v>
      </c>
      <c r="AU36">
        <v>19</v>
      </c>
      <c r="AV36">
        <v>107</v>
      </c>
      <c r="AY36">
        <v>497166</v>
      </c>
      <c r="AZ36">
        <v>486040</v>
      </c>
      <c r="BA36">
        <v>7410</v>
      </c>
      <c r="BB36">
        <v>2958</v>
      </c>
      <c r="BC36">
        <v>2854</v>
      </c>
      <c r="BD36">
        <v>0</v>
      </c>
      <c r="BF36" t="s">
        <v>827</v>
      </c>
      <c r="BG36" s="1">
        <v>46110.125185185185</v>
      </c>
      <c r="BH36" s="1">
        <v>46110.13318287037</v>
      </c>
      <c r="BI36" s="1">
        <v>46110.174699074072</v>
      </c>
      <c r="BJ36" s="1">
        <v>46110.22078703704</v>
      </c>
      <c r="BK36">
        <v>1.1000000000000001</v>
      </c>
      <c r="BM36">
        <v>4123</v>
      </c>
      <c r="BT36" s="1">
        <v>46110.140127314815</v>
      </c>
      <c r="BU36" s="1">
        <v>46110.189432870371</v>
      </c>
      <c r="BV36" t="b">
        <v>0</v>
      </c>
      <c r="BX36">
        <v>6</v>
      </c>
      <c r="BY36" t="b">
        <v>0</v>
      </c>
      <c r="CD36">
        <v>1</v>
      </c>
      <c r="CF36" s="1">
        <v>46110.986342592594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b">
        <v>0</v>
      </c>
      <c r="CM36" t="b">
        <v>0</v>
      </c>
      <c r="CN36" t="b">
        <v>0</v>
      </c>
      <c r="CP36">
        <v>2</v>
      </c>
      <c r="CR36">
        <v>6</v>
      </c>
      <c r="CS36">
        <v>2775</v>
      </c>
      <c r="CT36">
        <v>2774</v>
      </c>
      <c r="CU36">
        <v>2796</v>
      </c>
      <c r="CZ36">
        <v>5.85</v>
      </c>
      <c r="DA36">
        <v>5.78</v>
      </c>
      <c r="DB36">
        <v>9.2100000000000009</v>
      </c>
      <c r="DC36">
        <v>7.28</v>
      </c>
      <c r="DH36">
        <v>4438</v>
      </c>
      <c r="DI36">
        <v>4436</v>
      </c>
      <c r="DJ36">
        <v>415</v>
      </c>
      <c r="DK36">
        <v>415</v>
      </c>
      <c r="EB36" s="1">
        <v>46110.242337962962</v>
      </c>
      <c r="EG36" s="1">
        <v>46110.22078703704</v>
      </c>
      <c r="EJ36" s="1">
        <v>46110.32775462963</v>
      </c>
      <c r="EK36">
        <v>0.01</v>
      </c>
      <c r="EL36">
        <v>3960</v>
      </c>
      <c r="EM36">
        <v>2994</v>
      </c>
      <c r="EN36">
        <v>0.04</v>
      </c>
      <c r="EO36">
        <v>834</v>
      </c>
      <c r="EP36">
        <v>3018</v>
      </c>
      <c r="EQ36">
        <v>0</v>
      </c>
      <c r="ER36">
        <v>0</v>
      </c>
      <c r="ES36">
        <v>2958</v>
      </c>
      <c r="ET36">
        <v>0</v>
      </c>
      <c r="EU36">
        <v>0</v>
      </c>
      <c r="EV36">
        <v>2903</v>
      </c>
      <c r="EW36">
        <v>0</v>
      </c>
      <c r="EX36">
        <v>0</v>
      </c>
      <c r="EY36">
        <v>2860</v>
      </c>
      <c r="EZ36">
        <v>0</v>
      </c>
      <c r="FA36">
        <v>0</v>
      </c>
      <c r="FB36">
        <v>2847</v>
      </c>
      <c r="FC36">
        <v>7.9</v>
      </c>
      <c r="FJ36" t="s">
        <v>675</v>
      </c>
      <c r="FK36">
        <v>114</v>
      </c>
      <c r="FL36" s="1">
        <v>46110.327534722222</v>
      </c>
      <c r="FM36">
        <v>108</v>
      </c>
      <c r="FN36" t="s">
        <v>669</v>
      </c>
      <c r="FO36" t="s">
        <v>669</v>
      </c>
      <c r="FP36">
        <v>108</v>
      </c>
      <c r="FQ36" t="s">
        <v>669</v>
      </c>
      <c r="FR36" t="s">
        <v>669</v>
      </c>
      <c r="FS36" t="s">
        <v>670</v>
      </c>
      <c r="FV36" t="s">
        <v>573</v>
      </c>
      <c r="FW36" t="b">
        <v>0</v>
      </c>
      <c r="GA36" t="s">
        <v>828</v>
      </c>
      <c r="GB36">
        <v>18516</v>
      </c>
      <c r="GC36" s="1">
        <v>46110.140127314815</v>
      </c>
      <c r="GD36" t="s">
        <v>590</v>
      </c>
      <c r="GE36" t="s">
        <v>591</v>
      </c>
      <c r="GF36">
        <v>120</v>
      </c>
      <c r="GG36">
        <v>120</v>
      </c>
      <c r="GH36">
        <v>66</v>
      </c>
      <c r="GI36" t="s">
        <v>574</v>
      </c>
      <c r="GJ36">
        <v>247.96</v>
      </c>
      <c r="GL36">
        <v>1887</v>
      </c>
      <c r="GN36" t="s">
        <v>671</v>
      </c>
      <c r="GP36">
        <v>1887</v>
      </c>
      <c r="GR36" t="s">
        <v>671</v>
      </c>
      <c r="HI36" s="2">
        <v>46110</v>
      </c>
      <c r="HJ36" t="s">
        <v>593</v>
      </c>
      <c r="HK36" t="s">
        <v>519</v>
      </c>
      <c r="HM36">
        <v>3</v>
      </c>
      <c r="HN36">
        <v>2</v>
      </c>
      <c r="HV36">
        <v>1</v>
      </c>
      <c r="HW36" t="b">
        <v>0</v>
      </c>
      <c r="IB36">
        <v>2845</v>
      </c>
      <c r="IJ36">
        <v>2753</v>
      </c>
      <c r="IK36">
        <v>22</v>
      </c>
      <c r="IL36">
        <v>21</v>
      </c>
      <c r="IM36">
        <v>43</v>
      </c>
      <c r="IN36" t="s">
        <v>594</v>
      </c>
      <c r="IO36" t="s">
        <v>619</v>
      </c>
      <c r="IP36" t="s">
        <v>619</v>
      </c>
      <c r="IT36" t="s">
        <v>822</v>
      </c>
      <c r="IV36">
        <v>28479</v>
      </c>
      <c r="IW36">
        <v>28461</v>
      </c>
      <c r="IX36">
        <v>28484</v>
      </c>
      <c r="IY36">
        <v>253.76386199999999</v>
      </c>
      <c r="IZ36">
        <v>0</v>
      </c>
      <c r="JA36">
        <v>1.1000000000000001</v>
      </c>
      <c r="JB36">
        <v>0</v>
      </c>
      <c r="JC36">
        <v>1.2688189999999999</v>
      </c>
      <c r="JD36">
        <v>255.032681</v>
      </c>
      <c r="JE36">
        <v>256.13268099999999</v>
      </c>
      <c r="JF36">
        <v>99.075100000000006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74.8</v>
      </c>
      <c r="JM36">
        <v>9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8</v>
      </c>
      <c r="JU36">
        <v>0</v>
      </c>
      <c r="JV36">
        <v>0</v>
      </c>
      <c r="JW36">
        <v>507527.72399999999</v>
      </c>
      <c r="JX36">
        <v>2640</v>
      </c>
      <c r="JY36">
        <v>74.8</v>
      </c>
      <c r="JZ36">
        <v>9.0625</v>
      </c>
      <c r="KA36">
        <v>0</v>
      </c>
      <c r="KB36">
        <v>253.76386199999999</v>
      </c>
      <c r="KC36">
        <v>1.2688189999999999</v>
      </c>
      <c r="KD36">
        <v>0</v>
      </c>
      <c r="KE36">
        <v>0</v>
      </c>
      <c r="KF36">
        <v>0</v>
      </c>
      <c r="KG36">
        <v>1.1000000000000001</v>
      </c>
      <c r="KH36">
        <v>0</v>
      </c>
      <c r="KI36">
        <v>0</v>
      </c>
      <c r="KJ36" t="s">
        <v>669</v>
      </c>
      <c r="KK36">
        <v>0.28360000000000002</v>
      </c>
      <c r="KL36">
        <v>28479</v>
      </c>
      <c r="KM36">
        <v>131520</v>
      </c>
      <c r="KN36">
        <v>44320</v>
      </c>
      <c r="KP36">
        <v>248240</v>
      </c>
      <c r="KT36">
        <v>124220</v>
      </c>
      <c r="KW36">
        <v>51800</v>
      </c>
      <c r="MD36">
        <v>60860</v>
      </c>
      <c r="MP36">
        <v>131976</v>
      </c>
      <c r="MQ36">
        <v>46191</v>
      </c>
      <c r="MS36">
        <v>221161</v>
      </c>
      <c r="MW36">
        <v>125377</v>
      </c>
      <c r="MZ36">
        <v>52790</v>
      </c>
      <c r="OG36">
        <v>59389</v>
      </c>
      <c r="OT36">
        <v>3837</v>
      </c>
      <c r="PA36">
        <v>553</v>
      </c>
      <c r="PB36">
        <v>4078</v>
      </c>
      <c r="PC36">
        <v>444160</v>
      </c>
      <c r="PD36">
        <v>46181</v>
      </c>
      <c r="PE36">
        <v>10616</v>
      </c>
      <c r="PG36">
        <v>4</v>
      </c>
      <c r="PJ36">
        <v>14550</v>
      </c>
      <c r="PM36">
        <v>15694</v>
      </c>
      <c r="PN36">
        <v>1323</v>
      </c>
      <c r="PS36">
        <v>500</v>
      </c>
      <c r="PT36">
        <v>467</v>
      </c>
      <c r="PW36">
        <v>4489</v>
      </c>
      <c r="PX36">
        <v>756</v>
      </c>
      <c r="PY36">
        <v>4885</v>
      </c>
      <c r="QD36">
        <v>449</v>
      </c>
      <c r="QE36">
        <v>949</v>
      </c>
      <c r="QG36">
        <v>120</v>
      </c>
      <c r="QI36">
        <v>100</v>
      </c>
      <c r="QK36">
        <v>6</v>
      </c>
      <c r="QM36">
        <v>7</v>
      </c>
      <c r="QS36">
        <v>944</v>
      </c>
      <c r="QT36">
        <v>499</v>
      </c>
      <c r="QV36">
        <v>75</v>
      </c>
      <c r="QW36">
        <v>200</v>
      </c>
      <c r="QX36">
        <v>350</v>
      </c>
      <c r="SE36" s="1">
        <v>46086.322222222225</v>
      </c>
      <c r="SF36">
        <v>28479</v>
      </c>
      <c r="SG36">
        <v>408807</v>
      </c>
      <c r="SH36">
        <v>20</v>
      </c>
      <c r="SI36" t="s">
        <v>567</v>
      </c>
      <c r="SJ36">
        <v>50</v>
      </c>
      <c r="SK36" s="1">
        <v>46110.175428240742</v>
      </c>
      <c r="SZ36">
        <v>0.214</v>
      </c>
      <c r="TA36">
        <v>1.3540000000000001</v>
      </c>
      <c r="TB36">
        <v>9.7999999999999997E-3</v>
      </c>
      <c r="TC36">
        <v>1.9E-3</v>
      </c>
      <c r="TD36">
        <v>0.186</v>
      </c>
      <c r="TE36">
        <v>0.11700000000000001</v>
      </c>
      <c r="TF36">
        <v>0.16400000000000001</v>
      </c>
      <c r="TG36">
        <v>0.107</v>
      </c>
      <c r="TH36">
        <v>2.5000000000000001E-2</v>
      </c>
      <c r="TI36">
        <v>3.1E-2</v>
      </c>
      <c r="TJ36">
        <v>8.9999999999999993E-3</v>
      </c>
      <c r="TK36">
        <v>3.5862099999999999</v>
      </c>
      <c r="TL36">
        <v>6.4000000000000001E-2</v>
      </c>
      <c r="TM36">
        <v>1.6000000000000001E-3</v>
      </c>
      <c r="TN36">
        <v>1.9E-3</v>
      </c>
      <c r="TO36">
        <v>8.5000000000000006E-3</v>
      </c>
      <c r="TP36" t="s">
        <v>569</v>
      </c>
      <c r="TQ36">
        <v>8.6999999999999994E-3</v>
      </c>
      <c r="TR36" t="s">
        <v>570</v>
      </c>
      <c r="TS36" t="s">
        <v>578</v>
      </c>
      <c r="TU36">
        <v>0.31230000000000002</v>
      </c>
      <c r="TV36">
        <v>7.1000000000000004E-3</v>
      </c>
      <c r="UD36">
        <v>0.51</v>
      </c>
      <c r="UE36">
        <v>0.53620000000000001</v>
      </c>
      <c r="UF36">
        <v>0.98</v>
      </c>
      <c r="UH36">
        <v>2.7E-4</v>
      </c>
      <c r="UJ36">
        <v>0.43230000000000002</v>
      </c>
      <c r="UK36">
        <v>0.19</v>
      </c>
      <c r="UL36">
        <v>0.39</v>
      </c>
      <c r="UM36">
        <v>7.4099999999999999E-2</v>
      </c>
      <c r="UN36">
        <v>0.41299999999999998</v>
      </c>
      <c r="UO36">
        <v>3.5438999999999998</v>
      </c>
      <c r="UP36">
        <v>1.0900000000000001</v>
      </c>
      <c r="UQ36">
        <v>0.91</v>
      </c>
      <c r="UR36" s="1">
        <v>46086.322222222225</v>
      </c>
    </row>
    <row r="37" spans="1:564" x14ac:dyDescent="0.35">
      <c r="A37">
        <v>28480</v>
      </c>
      <c r="B37">
        <v>18517</v>
      </c>
      <c r="C37">
        <v>850</v>
      </c>
      <c r="D37">
        <v>26134</v>
      </c>
      <c r="G37" t="s">
        <v>668</v>
      </c>
      <c r="H37">
        <v>500000</v>
      </c>
      <c r="L37" t="s">
        <v>586</v>
      </c>
      <c r="M37">
        <v>74.8</v>
      </c>
      <c r="N37">
        <v>330</v>
      </c>
      <c r="O37" t="s">
        <v>596</v>
      </c>
      <c r="P37">
        <v>20</v>
      </c>
      <c r="S37" s="1">
        <v>46110.036886574075</v>
      </c>
      <c r="U37">
        <v>79</v>
      </c>
      <c r="W37">
        <v>18</v>
      </c>
      <c r="X37">
        <v>495910</v>
      </c>
      <c r="Y37" s="1">
        <v>46110.104687500003</v>
      </c>
      <c r="AB37">
        <v>100373</v>
      </c>
      <c r="AC37">
        <v>301</v>
      </c>
      <c r="AD37">
        <v>1109</v>
      </c>
      <c r="AE37">
        <v>140763</v>
      </c>
      <c r="AF37">
        <v>0</v>
      </c>
      <c r="AG37">
        <v>0</v>
      </c>
      <c r="AH37">
        <v>2883</v>
      </c>
      <c r="AI37">
        <v>0.06</v>
      </c>
      <c r="AJ37">
        <v>544</v>
      </c>
      <c r="AK37">
        <v>2928</v>
      </c>
      <c r="AL37">
        <v>9</v>
      </c>
      <c r="AM37" t="s">
        <v>829</v>
      </c>
      <c r="AO37" s="1">
        <v>46110.1094212963</v>
      </c>
      <c r="AP37">
        <v>2</v>
      </c>
      <c r="AS37" s="1">
        <v>46110.1091087963</v>
      </c>
      <c r="AT37" s="1">
        <v>46110.172627314816</v>
      </c>
      <c r="AU37">
        <v>15</v>
      </c>
      <c r="AV37">
        <v>76</v>
      </c>
      <c r="AY37">
        <v>487668</v>
      </c>
      <c r="AZ37">
        <v>478426</v>
      </c>
      <c r="BA37">
        <v>6290</v>
      </c>
      <c r="BB37">
        <v>2980</v>
      </c>
      <c r="BC37">
        <v>2859</v>
      </c>
      <c r="BD37">
        <v>0</v>
      </c>
      <c r="BG37" s="1">
        <v>46110.173113425924</v>
      </c>
      <c r="BH37" s="1">
        <v>46110.183078703703</v>
      </c>
      <c r="BI37" s="1">
        <v>46110.22079861111</v>
      </c>
      <c r="BJ37" s="1">
        <v>46110.275914351849</v>
      </c>
      <c r="BK37">
        <v>1.1000000000000001</v>
      </c>
      <c r="BM37">
        <v>4123</v>
      </c>
      <c r="BT37" s="1">
        <v>46110.190717592595</v>
      </c>
      <c r="BU37" s="1">
        <v>46110.237245370372</v>
      </c>
      <c r="BV37" t="b">
        <v>0</v>
      </c>
      <c r="BX37">
        <v>6</v>
      </c>
      <c r="BY37" t="b">
        <v>0</v>
      </c>
      <c r="CD37">
        <v>1</v>
      </c>
      <c r="CF37" s="1">
        <v>46110.986655092594</v>
      </c>
      <c r="CG37" t="b">
        <v>0</v>
      </c>
      <c r="CH37" t="b">
        <v>0</v>
      </c>
      <c r="CI37" t="b">
        <v>0</v>
      </c>
      <c r="CJ37" t="b">
        <v>0</v>
      </c>
      <c r="CK37" t="b">
        <v>0</v>
      </c>
      <c r="CL37" t="b">
        <v>0</v>
      </c>
      <c r="CM37" t="b">
        <v>0</v>
      </c>
      <c r="CN37" t="b">
        <v>0</v>
      </c>
      <c r="CP37">
        <v>6</v>
      </c>
      <c r="CR37">
        <v>2</v>
      </c>
      <c r="CS37">
        <v>2787</v>
      </c>
      <c r="CT37">
        <v>2804</v>
      </c>
      <c r="CU37">
        <v>2797</v>
      </c>
      <c r="CZ37">
        <v>5.74</v>
      </c>
      <c r="DA37">
        <v>6.4</v>
      </c>
      <c r="DB37">
        <v>8.2799999999999994</v>
      </c>
      <c r="DC37">
        <v>7.67</v>
      </c>
      <c r="DH37">
        <v>4449</v>
      </c>
      <c r="DI37">
        <v>4441</v>
      </c>
      <c r="DJ37">
        <v>415</v>
      </c>
      <c r="DK37">
        <v>417</v>
      </c>
      <c r="DP37">
        <v>4461</v>
      </c>
      <c r="DQ37">
        <v>4439</v>
      </c>
      <c r="DR37">
        <v>416</v>
      </c>
      <c r="DS37">
        <v>417</v>
      </c>
      <c r="DX37">
        <v>4455</v>
      </c>
      <c r="DY37">
        <v>4440</v>
      </c>
      <c r="DZ37">
        <v>417</v>
      </c>
      <c r="EA37">
        <v>415</v>
      </c>
      <c r="EB37" s="1">
        <v>46110.237326388888</v>
      </c>
      <c r="EG37" s="1">
        <v>46110.275914351849</v>
      </c>
      <c r="EJ37" s="1">
        <v>46110.32671296296</v>
      </c>
      <c r="EK37">
        <v>0</v>
      </c>
      <c r="EL37">
        <v>0</v>
      </c>
      <c r="EM37">
        <v>3007</v>
      </c>
      <c r="EN37">
        <v>0.04</v>
      </c>
      <c r="EO37">
        <v>879</v>
      </c>
      <c r="EP37">
        <v>3013</v>
      </c>
      <c r="EQ37">
        <v>5.97</v>
      </c>
      <c r="ER37">
        <v>6</v>
      </c>
      <c r="ES37">
        <v>2980</v>
      </c>
      <c r="ET37">
        <v>0</v>
      </c>
      <c r="EU37">
        <v>0</v>
      </c>
      <c r="EV37">
        <v>2872</v>
      </c>
      <c r="EW37">
        <v>0</v>
      </c>
      <c r="EX37">
        <v>0</v>
      </c>
      <c r="EY37">
        <v>2874</v>
      </c>
      <c r="EZ37">
        <v>0</v>
      </c>
      <c r="FA37">
        <v>0</v>
      </c>
      <c r="FB37">
        <v>2856</v>
      </c>
      <c r="FC37">
        <v>6.4</v>
      </c>
      <c r="FJ37" t="s">
        <v>830</v>
      </c>
      <c r="FK37">
        <v>114</v>
      </c>
      <c r="FL37" s="1">
        <v>46110.326481481483</v>
      </c>
      <c r="FM37">
        <v>108</v>
      </c>
      <c r="FN37" t="s">
        <v>669</v>
      </c>
      <c r="FO37" t="s">
        <v>669</v>
      </c>
      <c r="FP37">
        <v>108</v>
      </c>
      <c r="FQ37" t="s">
        <v>669</v>
      </c>
      <c r="FR37" t="s">
        <v>669</v>
      </c>
      <c r="FS37" t="s">
        <v>670</v>
      </c>
      <c r="FT37" t="s">
        <v>589</v>
      </c>
      <c r="FV37" t="s">
        <v>573</v>
      </c>
      <c r="FW37" t="b">
        <v>0</v>
      </c>
      <c r="GA37" t="s">
        <v>831</v>
      </c>
      <c r="GB37">
        <v>18517</v>
      </c>
      <c r="GC37" s="1">
        <v>46110.190717592595</v>
      </c>
      <c r="GD37" t="s">
        <v>590</v>
      </c>
      <c r="GE37" t="s">
        <v>591</v>
      </c>
      <c r="GF37">
        <v>97</v>
      </c>
      <c r="GG37">
        <v>91</v>
      </c>
      <c r="GH37">
        <v>80</v>
      </c>
      <c r="GI37" t="s">
        <v>565</v>
      </c>
      <c r="GJ37">
        <v>247.96</v>
      </c>
      <c r="GL37">
        <v>1887</v>
      </c>
      <c r="GN37" t="s">
        <v>671</v>
      </c>
      <c r="GP37">
        <v>1887</v>
      </c>
      <c r="GR37" t="s">
        <v>671</v>
      </c>
      <c r="HI37" s="2">
        <v>46110</v>
      </c>
      <c r="HJ37" t="s">
        <v>593</v>
      </c>
      <c r="HK37" t="s">
        <v>519</v>
      </c>
      <c r="HM37">
        <v>4</v>
      </c>
      <c r="HN37">
        <v>2</v>
      </c>
      <c r="HV37">
        <v>1</v>
      </c>
      <c r="HW37" t="b">
        <v>0</v>
      </c>
      <c r="IB37">
        <v>2850</v>
      </c>
      <c r="IJ37">
        <v>2753</v>
      </c>
      <c r="IK37">
        <v>34</v>
      </c>
      <c r="IL37">
        <v>51</v>
      </c>
      <c r="IM37">
        <v>44</v>
      </c>
      <c r="IN37" t="s">
        <v>594</v>
      </c>
      <c r="IO37" t="s">
        <v>619</v>
      </c>
      <c r="IP37" t="s">
        <v>619</v>
      </c>
      <c r="IR37">
        <v>12</v>
      </c>
      <c r="IT37" t="s">
        <v>822</v>
      </c>
      <c r="IV37">
        <v>28480</v>
      </c>
      <c r="IW37">
        <v>28461</v>
      </c>
      <c r="IX37">
        <v>28484</v>
      </c>
      <c r="IY37">
        <v>285.48434400000002</v>
      </c>
      <c r="IZ37">
        <v>0</v>
      </c>
      <c r="JA37">
        <v>1.1000000000000001</v>
      </c>
      <c r="JB37">
        <v>0</v>
      </c>
      <c r="JC37">
        <v>1.4274210000000001</v>
      </c>
      <c r="JD37">
        <v>286.911765</v>
      </c>
      <c r="JE37">
        <v>288.01176500000003</v>
      </c>
      <c r="JF37">
        <v>99.122399999999999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74.8</v>
      </c>
      <c r="JM37">
        <v>9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9</v>
      </c>
      <c r="JU37">
        <v>0</v>
      </c>
      <c r="JV37">
        <v>0</v>
      </c>
      <c r="JW37">
        <v>570968.68949999998</v>
      </c>
      <c r="JX37">
        <v>2970</v>
      </c>
      <c r="JY37">
        <v>74.8</v>
      </c>
      <c r="JZ37">
        <v>9.0625</v>
      </c>
      <c r="KA37">
        <v>0</v>
      </c>
      <c r="KB37">
        <v>285.48434400000002</v>
      </c>
      <c r="KC37">
        <v>1.4274210000000001</v>
      </c>
      <c r="KD37">
        <v>0</v>
      </c>
      <c r="KE37">
        <v>0</v>
      </c>
      <c r="KF37">
        <v>0</v>
      </c>
      <c r="KG37">
        <v>1.1000000000000001</v>
      </c>
      <c r="KH37">
        <v>0</v>
      </c>
      <c r="KI37">
        <v>0</v>
      </c>
      <c r="KJ37" t="s">
        <v>669</v>
      </c>
      <c r="KK37">
        <v>0.28360000000000002</v>
      </c>
      <c r="KL37">
        <v>28480</v>
      </c>
      <c r="KM37">
        <v>123900</v>
      </c>
      <c r="KN37">
        <v>44300</v>
      </c>
      <c r="KP37">
        <v>224880</v>
      </c>
      <c r="KT37">
        <v>114200</v>
      </c>
      <c r="KW37">
        <v>50980</v>
      </c>
      <c r="MD37">
        <v>55820</v>
      </c>
      <c r="MP37">
        <v>123998</v>
      </c>
      <c r="MQ37">
        <v>43399</v>
      </c>
      <c r="MS37">
        <v>167398</v>
      </c>
      <c r="MW37">
        <v>107934</v>
      </c>
      <c r="MZ37">
        <v>49599</v>
      </c>
      <c r="OG37">
        <v>55799</v>
      </c>
      <c r="OT37">
        <v>3603</v>
      </c>
      <c r="PA37">
        <v>670</v>
      </c>
      <c r="PB37">
        <v>4129</v>
      </c>
      <c r="PC37">
        <v>432142</v>
      </c>
      <c r="PD37">
        <v>45014</v>
      </c>
      <c r="PE37">
        <v>8945</v>
      </c>
      <c r="PG37">
        <v>4</v>
      </c>
      <c r="PJ37">
        <v>9355</v>
      </c>
      <c r="PM37">
        <v>15343</v>
      </c>
      <c r="PN37">
        <v>2332</v>
      </c>
      <c r="PS37">
        <v>500</v>
      </c>
      <c r="PT37">
        <v>348</v>
      </c>
      <c r="PW37">
        <v>4793</v>
      </c>
      <c r="PX37">
        <v>903</v>
      </c>
      <c r="PY37">
        <v>3835</v>
      </c>
      <c r="QD37">
        <v>2</v>
      </c>
      <c r="QE37">
        <v>849</v>
      </c>
      <c r="QG37">
        <v>100</v>
      </c>
      <c r="QI37">
        <v>179</v>
      </c>
      <c r="QK37">
        <v>6</v>
      </c>
      <c r="QM37">
        <v>8</v>
      </c>
      <c r="QS37">
        <v>575</v>
      </c>
      <c r="QT37">
        <v>500</v>
      </c>
      <c r="QV37">
        <v>75</v>
      </c>
      <c r="QW37">
        <v>235</v>
      </c>
      <c r="QX37">
        <v>400</v>
      </c>
      <c r="SE37" s="1">
        <v>46086.322222222225</v>
      </c>
      <c r="SF37">
        <v>28480</v>
      </c>
      <c r="SG37">
        <v>408829</v>
      </c>
      <c r="SH37">
        <v>20</v>
      </c>
      <c r="SI37" t="s">
        <v>567</v>
      </c>
      <c r="SJ37">
        <v>50</v>
      </c>
      <c r="SK37" s="1">
        <v>46110.223124999997</v>
      </c>
      <c r="SZ37">
        <v>0.216</v>
      </c>
      <c r="TA37">
        <v>1.369</v>
      </c>
      <c r="TB37">
        <v>1.0800000000000001E-2</v>
      </c>
      <c r="TC37">
        <v>1.6999999999999999E-3</v>
      </c>
      <c r="TD37">
        <v>0.183</v>
      </c>
      <c r="TE37">
        <v>0.122</v>
      </c>
      <c r="TF37">
        <v>0.157</v>
      </c>
      <c r="TG37">
        <v>0.11</v>
      </c>
      <c r="TH37">
        <v>1.4999999999999999E-2</v>
      </c>
      <c r="TI37">
        <v>0.03</v>
      </c>
      <c r="TJ37">
        <v>8.0000000000000002E-3</v>
      </c>
      <c r="TK37">
        <v>4.3768099999999999</v>
      </c>
      <c r="TL37">
        <v>6.2E-2</v>
      </c>
      <c r="TM37">
        <v>1.4E-3</v>
      </c>
      <c r="TN37">
        <v>1.6000000000000001E-3</v>
      </c>
      <c r="TO37">
        <v>1.21E-2</v>
      </c>
      <c r="TP37" t="s">
        <v>569</v>
      </c>
      <c r="TQ37">
        <v>6.8999999999999999E-3</v>
      </c>
      <c r="TR37" t="s">
        <v>570</v>
      </c>
      <c r="TS37" t="s">
        <v>578</v>
      </c>
      <c r="TU37">
        <v>0.31419999999999998</v>
      </c>
      <c r="TV37">
        <v>7.4000000000000003E-3</v>
      </c>
      <c r="UD37">
        <v>0.51</v>
      </c>
      <c r="UE37">
        <v>0.53720000000000001</v>
      </c>
      <c r="UF37">
        <v>1.75</v>
      </c>
      <c r="UH37">
        <v>2.1000000000000001E-4</v>
      </c>
      <c r="UJ37">
        <v>0.4254</v>
      </c>
      <c r="UK37">
        <v>0.18</v>
      </c>
      <c r="UL37">
        <v>0.39</v>
      </c>
      <c r="UM37">
        <v>7.5499999999999998E-2</v>
      </c>
      <c r="UN37">
        <v>0.40400000000000003</v>
      </c>
      <c r="UO37">
        <v>3.6421999999999999</v>
      </c>
      <c r="UP37">
        <v>1.1100000000000001</v>
      </c>
      <c r="UQ37">
        <v>0.9</v>
      </c>
      <c r="UR37" s="1">
        <v>46086.322222222225</v>
      </c>
    </row>
    <row r="38" spans="1:564" x14ac:dyDescent="0.35">
      <c r="A38">
        <v>28481</v>
      </c>
      <c r="B38">
        <v>18518</v>
      </c>
      <c r="C38">
        <v>850</v>
      </c>
      <c r="D38">
        <v>26134</v>
      </c>
      <c r="G38" t="s">
        <v>668</v>
      </c>
      <c r="H38">
        <v>500000</v>
      </c>
      <c r="L38" t="s">
        <v>586</v>
      </c>
      <c r="M38">
        <v>74.8</v>
      </c>
      <c r="N38">
        <v>330</v>
      </c>
      <c r="O38" t="s">
        <v>596</v>
      </c>
      <c r="P38">
        <v>21</v>
      </c>
      <c r="S38" s="1">
        <v>46110.104687500003</v>
      </c>
      <c r="U38">
        <v>64</v>
      </c>
      <c r="W38">
        <v>14</v>
      </c>
      <c r="X38">
        <v>495910</v>
      </c>
      <c r="Y38" s="1">
        <v>46110.159479166665</v>
      </c>
      <c r="AB38">
        <v>82061</v>
      </c>
      <c r="AC38">
        <v>302</v>
      </c>
      <c r="AD38">
        <v>1110</v>
      </c>
      <c r="AE38">
        <v>155380</v>
      </c>
      <c r="AF38">
        <v>0.05</v>
      </c>
      <c r="AG38">
        <v>728</v>
      </c>
      <c r="AH38">
        <v>2941</v>
      </c>
      <c r="AI38">
        <v>0.04</v>
      </c>
      <c r="AJ38">
        <v>800</v>
      </c>
      <c r="AK38">
        <v>2955</v>
      </c>
      <c r="AL38">
        <v>5</v>
      </c>
      <c r="AM38" t="s">
        <v>832</v>
      </c>
      <c r="AO38" s="1">
        <v>46110.221608796295</v>
      </c>
      <c r="AP38">
        <v>1</v>
      </c>
      <c r="AS38" s="1">
        <v>46110.165324074071</v>
      </c>
      <c r="AT38" s="1">
        <v>46110.221134259256</v>
      </c>
      <c r="AU38">
        <v>12</v>
      </c>
      <c r="AV38">
        <v>70</v>
      </c>
      <c r="AY38">
        <v>485947</v>
      </c>
      <c r="AZ38">
        <v>477249</v>
      </c>
      <c r="BA38">
        <v>8610</v>
      </c>
      <c r="BB38">
        <v>2903</v>
      </c>
      <c r="BC38">
        <v>2853</v>
      </c>
      <c r="BD38">
        <v>0</v>
      </c>
      <c r="BF38" t="s">
        <v>797</v>
      </c>
      <c r="BG38" s="1">
        <v>46110.221747685187</v>
      </c>
      <c r="BH38" s="1">
        <v>46110.231342592589</v>
      </c>
      <c r="BI38" s="1">
        <v>46110.275925925926</v>
      </c>
      <c r="BJ38" s="1">
        <v>46110.328113425923</v>
      </c>
      <c r="BK38">
        <v>1.1000000000000001</v>
      </c>
      <c r="BM38">
        <v>4123</v>
      </c>
      <c r="BS38" t="s">
        <v>833</v>
      </c>
      <c r="BT38" s="1">
        <v>46110.238287037035</v>
      </c>
      <c r="BU38" s="1">
        <v>46110.289675925924</v>
      </c>
      <c r="BV38" t="b">
        <v>0</v>
      </c>
      <c r="BX38">
        <v>6</v>
      </c>
      <c r="BY38" t="b">
        <v>0</v>
      </c>
      <c r="CD38">
        <v>0.9</v>
      </c>
      <c r="CF38" s="1">
        <v>46109.986550925925</v>
      </c>
      <c r="CG38" t="b">
        <v>0</v>
      </c>
      <c r="CH38" t="b">
        <v>0</v>
      </c>
      <c r="CI38" t="b">
        <v>0</v>
      </c>
      <c r="CJ38" t="b">
        <v>0</v>
      </c>
      <c r="CK38" t="b">
        <v>0</v>
      </c>
      <c r="CL38" t="b">
        <v>0</v>
      </c>
      <c r="CM38" t="b">
        <v>0</v>
      </c>
      <c r="CN38" t="b">
        <v>0</v>
      </c>
      <c r="CP38">
        <v>6</v>
      </c>
      <c r="CR38">
        <v>2</v>
      </c>
      <c r="CS38">
        <v>2789</v>
      </c>
      <c r="CT38">
        <v>2810</v>
      </c>
      <c r="CU38">
        <v>2808</v>
      </c>
      <c r="CZ38">
        <v>6.52</v>
      </c>
      <c r="DA38">
        <v>6.78</v>
      </c>
      <c r="DB38">
        <v>7.82</v>
      </c>
      <c r="DC38">
        <v>6.92</v>
      </c>
      <c r="DH38">
        <v>4420</v>
      </c>
      <c r="DI38">
        <v>4451</v>
      </c>
      <c r="DJ38">
        <v>414</v>
      </c>
      <c r="DK38">
        <v>416</v>
      </c>
      <c r="DP38">
        <v>4457</v>
      </c>
      <c r="DQ38">
        <v>4453</v>
      </c>
      <c r="DR38">
        <v>416</v>
      </c>
      <c r="DS38">
        <v>415</v>
      </c>
      <c r="DX38">
        <v>4440</v>
      </c>
      <c r="DY38">
        <v>4473</v>
      </c>
      <c r="DZ38">
        <v>416</v>
      </c>
      <c r="EA38">
        <v>417</v>
      </c>
      <c r="EB38" s="1">
        <v>46110.290254629632</v>
      </c>
      <c r="EG38" s="1">
        <v>46110.328113425923</v>
      </c>
      <c r="EJ38" s="1">
        <v>46110.555555555555</v>
      </c>
      <c r="EK38">
        <v>0.04</v>
      </c>
      <c r="EL38">
        <v>1045</v>
      </c>
      <c r="EM38">
        <v>3024</v>
      </c>
      <c r="EQ38">
        <v>0</v>
      </c>
      <c r="ER38">
        <v>0</v>
      </c>
      <c r="ES38">
        <v>2903</v>
      </c>
      <c r="ET38">
        <v>0</v>
      </c>
      <c r="EU38">
        <v>0</v>
      </c>
      <c r="EV38">
        <v>2868</v>
      </c>
      <c r="EW38">
        <v>0</v>
      </c>
      <c r="EX38">
        <v>0</v>
      </c>
      <c r="EY38">
        <v>2869</v>
      </c>
      <c r="EZ38">
        <v>0</v>
      </c>
      <c r="FA38">
        <v>0</v>
      </c>
      <c r="FB38">
        <v>2859</v>
      </c>
      <c r="FC38">
        <v>7.7</v>
      </c>
      <c r="FJ38" t="s">
        <v>834</v>
      </c>
      <c r="FK38">
        <v>114</v>
      </c>
      <c r="FL38" s="1">
        <v>46110.555347222224</v>
      </c>
      <c r="FM38">
        <v>108</v>
      </c>
      <c r="FN38" t="s">
        <v>669</v>
      </c>
      <c r="FO38" t="s">
        <v>669</v>
      </c>
      <c r="FP38">
        <v>108</v>
      </c>
      <c r="FQ38" t="s">
        <v>669</v>
      </c>
      <c r="FR38" t="s">
        <v>669</v>
      </c>
      <c r="FS38" t="s">
        <v>670</v>
      </c>
      <c r="FT38" t="s">
        <v>638</v>
      </c>
      <c r="FV38" t="s">
        <v>573</v>
      </c>
      <c r="FW38" t="b">
        <v>0</v>
      </c>
      <c r="GA38" t="s">
        <v>835</v>
      </c>
      <c r="GB38">
        <v>18518</v>
      </c>
      <c r="GC38" s="1">
        <v>46110.238287037035</v>
      </c>
      <c r="GD38" t="s">
        <v>590</v>
      </c>
      <c r="GE38" t="s">
        <v>591</v>
      </c>
      <c r="GF38">
        <v>79</v>
      </c>
      <c r="GG38">
        <v>80</v>
      </c>
      <c r="GH38">
        <v>75</v>
      </c>
      <c r="GI38" t="s">
        <v>574</v>
      </c>
      <c r="GJ38">
        <v>247.96</v>
      </c>
      <c r="GL38">
        <v>1887</v>
      </c>
      <c r="GN38" t="s">
        <v>671</v>
      </c>
      <c r="GP38">
        <v>1887</v>
      </c>
      <c r="GR38" t="s">
        <v>671</v>
      </c>
      <c r="HI38" s="2">
        <v>46110</v>
      </c>
      <c r="HJ38" t="s">
        <v>593</v>
      </c>
      <c r="HK38" t="s">
        <v>537</v>
      </c>
      <c r="HM38">
        <v>5</v>
      </c>
      <c r="HN38">
        <v>2</v>
      </c>
      <c r="HV38">
        <v>1</v>
      </c>
      <c r="HW38" t="b">
        <v>0</v>
      </c>
      <c r="IB38">
        <v>2850</v>
      </c>
      <c r="IJ38">
        <v>2753</v>
      </c>
      <c r="IK38">
        <v>36</v>
      </c>
      <c r="IL38">
        <v>57</v>
      </c>
      <c r="IM38">
        <v>55</v>
      </c>
      <c r="IN38" t="s">
        <v>594</v>
      </c>
      <c r="IO38" t="s">
        <v>619</v>
      </c>
      <c r="IP38" t="s">
        <v>619</v>
      </c>
      <c r="IR38">
        <v>8</v>
      </c>
      <c r="IT38" t="s">
        <v>822</v>
      </c>
      <c r="IV38">
        <v>28481</v>
      </c>
      <c r="IW38">
        <v>28461</v>
      </c>
      <c r="IX38">
        <v>28484</v>
      </c>
      <c r="IY38">
        <v>253.76386199999999</v>
      </c>
      <c r="IZ38">
        <v>0</v>
      </c>
      <c r="JA38">
        <v>1.1000000000000001</v>
      </c>
      <c r="JB38">
        <v>0</v>
      </c>
      <c r="JC38">
        <v>1.2688189999999999</v>
      </c>
      <c r="JD38">
        <v>255.032681</v>
      </c>
      <c r="JE38">
        <v>256.13268099999999</v>
      </c>
      <c r="JF38">
        <v>99.075100000000006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74.8</v>
      </c>
      <c r="JM38">
        <v>9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8</v>
      </c>
      <c r="JU38">
        <v>0</v>
      </c>
      <c r="JV38">
        <v>0</v>
      </c>
      <c r="JW38">
        <v>507527.72399999999</v>
      </c>
      <c r="JX38">
        <v>2640</v>
      </c>
      <c r="JY38">
        <v>74.8</v>
      </c>
      <c r="JZ38">
        <v>9.0625</v>
      </c>
      <c r="KA38">
        <v>0</v>
      </c>
      <c r="KB38">
        <v>253.76386199999999</v>
      </c>
      <c r="KC38">
        <v>1.2688189999999999</v>
      </c>
      <c r="KD38">
        <v>0</v>
      </c>
      <c r="KE38">
        <v>0</v>
      </c>
      <c r="KF38">
        <v>0</v>
      </c>
      <c r="KG38">
        <v>1.1000000000000001</v>
      </c>
      <c r="KH38">
        <v>0</v>
      </c>
      <c r="KI38">
        <v>0</v>
      </c>
      <c r="KJ38" t="s">
        <v>669</v>
      </c>
      <c r="KK38">
        <v>0.28360000000000002</v>
      </c>
      <c r="KL38">
        <v>28481</v>
      </c>
      <c r="KM38">
        <v>111740</v>
      </c>
      <c r="KN38">
        <v>38320</v>
      </c>
      <c r="KP38">
        <v>206640</v>
      </c>
      <c r="KT38">
        <v>103020</v>
      </c>
      <c r="KW38">
        <v>46440</v>
      </c>
      <c r="MD38">
        <v>49400</v>
      </c>
      <c r="MP38">
        <v>110247</v>
      </c>
      <c r="MQ38">
        <v>38586</v>
      </c>
      <c r="MS38">
        <v>148834</v>
      </c>
      <c r="MW38">
        <v>102738</v>
      </c>
      <c r="MZ38">
        <v>44099</v>
      </c>
      <c r="OG38">
        <v>49611</v>
      </c>
      <c r="OT38">
        <v>3656</v>
      </c>
      <c r="PA38">
        <v>556</v>
      </c>
      <c r="PB38">
        <v>4145</v>
      </c>
      <c r="PC38">
        <v>380591</v>
      </c>
      <c r="PD38">
        <v>39291</v>
      </c>
      <c r="PE38">
        <v>6786</v>
      </c>
      <c r="PG38">
        <v>3</v>
      </c>
      <c r="PJ38">
        <v>7325</v>
      </c>
      <c r="PM38">
        <v>15416</v>
      </c>
      <c r="PN38">
        <v>2310</v>
      </c>
      <c r="PS38">
        <v>500</v>
      </c>
      <c r="PT38">
        <v>202</v>
      </c>
      <c r="PW38">
        <v>4494</v>
      </c>
      <c r="PX38">
        <v>762</v>
      </c>
      <c r="PY38">
        <v>3547</v>
      </c>
      <c r="QD38">
        <v>499</v>
      </c>
      <c r="QE38">
        <v>849</v>
      </c>
      <c r="QG38">
        <v>100</v>
      </c>
      <c r="QK38">
        <v>5</v>
      </c>
      <c r="QM38">
        <v>7</v>
      </c>
      <c r="QS38">
        <v>694</v>
      </c>
      <c r="QT38">
        <v>699</v>
      </c>
      <c r="QW38">
        <v>240</v>
      </c>
      <c r="QX38">
        <v>350</v>
      </c>
      <c r="SE38" s="1">
        <v>46086.322222222225</v>
      </c>
      <c r="SF38">
        <v>28481</v>
      </c>
      <c r="SG38">
        <v>408843</v>
      </c>
      <c r="SH38">
        <v>20</v>
      </c>
      <c r="SI38" t="s">
        <v>567</v>
      </c>
      <c r="SJ38">
        <v>50</v>
      </c>
      <c r="SK38" s="1">
        <v>46110.267129629632</v>
      </c>
      <c r="SZ38">
        <v>0.20399999999999999</v>
      </c>
      <c r="TA38">
        <v>1.3720000000000001</v>
      </c>
      <c r="TB38">
        <v>0.01</v>
      </c>
      <c r="TC38" t="s">
        <v>568</v>
      </c>
      <c r="TD38">
        <v>0.188</v>
      </c>
      <c r="TE38">
        <v>0.11600000000000001</v>
      </c>
      <c r="TF38">
        <v>0.157</v>
      </c>
      <c r="TG38">
        <v>0.10299999999999999</v>
      </c>
      <c r="TH38">
        <v>2.1999999999999999E-2</v>
      </c>
      <c r="TI38">
        <v>3.2000000000000001E-2</v>
      </c>
      <c r="TJ38">
        <v>7.0000000000000001E-3</v>
      </c>
      <c r="TK38">
        <v>4.2266700000000004</v>
      </c>
      <c r="TL38">
        <v>6.6000000000000003E-2</v>
      </c>
      <c r="TM38">
        <v>1.2999999999999999E-3</v>
      </c>
      <c r="TN38">
        <v>1.5E-3</v>
      </c>
      <c r="TO38">
        <v>1.0500000000000001E-2</v>
      </c>
      <c r="TP38" t="s">
        <v>569</v>
      </c>
      <c r="TQ38">
        <v>7.4999999999999997E-3</v>
      </c>
      <c r="TR38" t="s">
        <v>570</v>
      </c>
      <c r="TS38" t="s">
        <v>578</v>
      </c>
      <c r="TU38">
        <v>0.30299999999999999</v>
      </c>
      <c r="TV38">
        <v>7.3000000000000001E-3</v>
      </c>
      <c r="UD38">
        <v>0.5</v>
      </c>
      <c r="UE38">
        <v>0.52780000000000005</v>
      </c>
      <c r="UF38">
        <v>1.4</v>
      </c>
      <c r="UH38">
        <v>2.4000000000000001E-4</v>
      </c>
      <c r="UJ38">
        <v>0.41749999999999998</v>
      </c>
      <c r="UK38">
        <v>0.17</v>
      </c>
      <c r="UL38">
        <v>0.38</v>
      </c>
      <c r="UM38">
        <v>7.7799999999999994E-2</v>
      </c>
      <c r="UN38">
        <v>0.39800000000000002</v>
      </c>
      <c r="UO38">
        <v>3.5125000000000002</v>
      </c>
      <c r="UP38">
        <v>1.1299999999999999</v>
      </c>
      <c r="UQ38">
        <v>0.89</v>
      </c>
      <c r="UR38" s="1">
        <v>46086.322222222225</v>
      </c>
    </row>
    <row r="39" spans="1:564" x14ac:dyDescent="0.35">
      <c r="A39">
        <v>28482</v>
      </c>
      <c r="B39">
        <v>18519</v>
      </c>
      <c r="C39">
        <v>850</v>
      </c>
      <c r="D39">
        <v>26134</v>
      </c>
      <c r="G39" t="s">
        <v>668</v>
      </c>
      <c r="H39">
        <v>500000</v>
      </c>
      <c r="L39" t="s">
        <v>586</v>
      </c>
      <c r="M39">
        <v>74.8</v>
      </c>
      <c r="N39">
        <v>330</v>
      </c>
      <c r="O39" t="s">
        <v>596</v>
      </c>
      <c r="P39">
        <v>22</v>
      </c>
      <c r="S39" s="1">
        <v>46110.159479166665</v>
      </c>
      <c r="U39">
        <v>69</v>
      </c>
      <c r="W39">
        <v>8</v>
      </c>
      <c r="X39">
        <v>495910</v>
      </c>
      <c r="Y39" s="1">
        <v>46110.213807870372</v>
      </c>
      <c r="AB39">
        <v>86943</v>
      </c>
      <c r="AC39">
        <v>303</v>
      </c>
      <c r="AD39">
        <v>1111</v>
      </c>
      <c r="AE39">
        <v>115388</v>
      </c>
      <c r="AF39">
        <v>0.08</v>
      </c>
      <c r="AG39">
        <v>454</v>
      </c>
      <c r="AH39">
        <v>2876</v>
      </c>
      <c r="AI39">
        <v>0.03</v>
      </c>
      <c r="AJ39">
        <v>1092</v>
      </c>
      <c r="AK39">
        <v>3052</v>
      </c>
      <c r="AO39" s="1">
        <v>46110.219872685186</v>
      </c>
      <c r="AP39">
        <v>2</v>
      </c>
      <c r="AS39" s="1">
        <v>46110.218946759262</v>
      </c>
      <c r="AT39" s="1">
        <v>46110.275914351849</v>
      </c>
      <c r="AU39">
        <v>8</v>
      </c>
      <c r="AV39">
        <v>42</v>
      </c>
      <c r="AY39">
        <v>484477</v>
      </c>
      <c r="AZ39">
        <v>472493</v>
      </c>
      <c r="BA39">
        <v>7110</v>
      </c>
      <c r="BB39">
        <v>2998</v>
      </c>
      <c r="BC39">
        <v>2853</v>
      </c>
      <c r="BG39" s="1">
        <v>46110.276631944442</v>
      </c>
      <c r="BH39" s="1">
        <v>46110.284942129627</v>
      </c>
      <c r="BI39" s="1">
        <v>46110.328125</v>
      </c>
      <c r="BJ39" s="1">
        <v>46110.378564814811</v>
      </c>
      <c r="BK39">
        <v>1.1000000000000001</v>
      </c>
      <c r="BM39">
        <v>4123</v>
      </c>
      <c r="BT39" s="1">
        <v>46110.291192129633</v>
      </c>
      <c r="BU39" s="1">
        <v>46110.343969907408</v>
      </c>
      <c r="BV39" t="b">
        <v>0</v>
      </c>
      <c r="BX39">
        <v>6</v>
      </c>
      <c r="BY39" t="b">
        <v>0</v>
      </c>
      <c r="CD39">
        <v>0.9</v>
      </c>
      <c r="CF39" s="1">
        <v>46109.986203703702</v>
      </c>
      <c r="CG39" t="b">
        <v>0</v>
      </c>
      <c r="CH39" t="b">
        <v>0</v>
      </c>
      <c r="CI39" t="b">
        <v>0</v>
      </c>
      <c r="CJ39" t="b">
        <v>0</v>
      </c>
      <c r="CK39" t="b">
        <v>0</v>
      </c>
      <c r="CL39" t="b">
        <v>0</v>
      </c>
      <c r="CM39" t="b">
        <v>0</v>
      </c>
      <c r="CN39" t="b">
        <v>0</v>
      </c>
      <c r="CP39">
        <v>6</v>
      </c>
      <c r="CR39">
        <v>2</v>
      </c>
      <c r="CS39">
        <v>2798</v>
      </c>
      <c r="CT39">
        <v>2804</v>
      </c>
      <c r="CU39">
        <v>2799</v>
      </c>
      <c r="CZ39">
        <v>6.12</v>
      </c>
      <c r="DA39">
        <v>6.3</v>
      </c>
      <c r="DB39">
        <v>8.16</v>
      </c>
      <c r="DC39">
        <v>7.38</v>
      </c>
      <c r="DH39">
        <v>4441</v>
      </c>
      <c r="DI39">
        <v>4458</v>
      </c>
      <c r="DJ39">
        <v>415</v>
      </c>
      <c r="DK39">
        <v>417</v>
      </c>
      <c r="DP39">
        <v>4452</v>
      </c>
      <c r="DQ39">
        <v>4428</v>
      </c>
      <c r="DR39">
        <v>415</v>
      </c>
      <c r="DS39">
        <v>416</v>
      </c>
      <c r="DX39">
        <v>4438</v>
      </c>
      <c r="DY39">
        <v>4445</v>
      </c>
      <c r="DZ39">
        <v>416</v>
      </c>
      <c r="EA39">
        <v>417</v>
      </c>
      <c r="EB39" s="1">
        <v>46110.344247685185</v>
      </c>
      <c r="EG39" s="1">
        <v>46110.378564814811</v>
      </c>
      <c r="EJ39" s="1">
        <v>46110.556643518517</v>
      </c>
      <c r="EQ39">
        <v>0</v>
      </c>
      <c r="ER39">
        <v>0</v>
      </c>
      <c r="ES39">
        <v>2998</v>
      </c>
      <c r="ET39">
        <v>0</v>
      </c>
      <c r="EU39">
        <v>0</v>
      </c>
      <c r="EV39">
        <v>2842</v>
      </c>
      <c r="EW39">
        <v>0</v>
      </c>
      <c r="EX39">
        <v>0</v>
      </c>
      <c r="EY39">
        <v>2865</v>
      </c>
      <c r="EZ39">
        <v>0</v>
      </c>
      <c r="FA39">
        <v>0</v>
      </c>
      <c r="FB39">
        <v>2858</v>
      </c>
      <c r="FC39">
        <v>7.6</v>
      </c>
      <c r="FJ39" t="s">
        <v>836</v>
      </c>
      <c r="FK39">
        <v>114</v>
      </c>
      <c r="FL39" s="1">
        <v>46110.55636574074</v>
      </c>
      <c r="FM39">
        <v>108</v>
      </c>
      <c r="FN39" t="s">
        <v>669</v>
      </c>
      <c r="FO39" t="s">
        <v>669</v>
      </c>
      <c r="FP39">
        <v>108</v>
      </c>
      <c r="FQ39" t="s">
        <v>669</v>
      </c>
      <c r="FR39" t="s">
        <v>669</v>
      </c>
      <c r="FS39" t="s">
        <v>670</v>
      </c>
      <c r="FV39" t="s">
        <v>573</v>
      </c>
      <c r="FW39" t="b">
        <v>0</v>
      </c>
      <c r="GA39" t="s">
        <v>837</v>
      </c>
      <c r="GB39">
        <v>18519</v>
      </c>
      <c r="GC39" s="1">
        <v>46110.291192129633</v>
      </c>
      <c r="GD39" t="s">
        <v>590</v>
      </c>
      <c r="GE39" t="s">
        <v>591</v>
      </c>
      <c r="GF39">
        <v>78</v>
      </c>
      <c r="GG39">
        <v>82</v>
      </c>
      <c r="GH39">
        <v>73</v>
      </c>
      <c r="GI39" t="s">
        <v>565</v>
      </c>
      <c r="GJ39">
        <v>247.96</v>
      </c>
      <c r="GL39">
        <v>1887</v>
      </c>
      <c r="GN39" t="s">
        <v>671</v>
      </c>
      <c r="GP39">
        <v>1887</v>
      </c>
      <c r="GR39" t="s">
        <v>671</v>
      </c>
      <c r="HI39" s="2">
        <v>46110</v>
      </c>
      <c r="HJ39" t="s">
        <v>593</v>
      </c>
      <c r="HK39" t="s">
        <v>537</v>
      </c>
      <c r="HM39">
        <v>6</v>
      </c>
      <c r="HN39">
        <v>2</v>
      </c>
      <c r="HV39">
        <v>1</v>
      </c>
      <c r="HW39" t="b">
        <v>0</v>
      </c>
      <c r="IB39">
        <v>2855</v>
      </c>
      <c r="IJ39">
        <v>2753</v>
      </c>
      <c r="IK39">
        <v>45</v>
      </c>
      <c r="IL39">
        <v>51</v>
      </c>
      <c r="IM39">
        <v>46</v>
      </c>
      <c r="IN39" t="s">
        <v>594</v>
      </c>
      <c r="IO39" t="s">
        <v>619</v>
      </c>
      <c r="IP39" t="s">
        <v>619</v>
      </c>
      <c r="IT39" t="s">
        <v>822</v>
      </c>
      <c r="IV39">
        <v>28482</v>
      </c>
      <c r="IW39">
        <v>28461</v>
      </c>
      <c r="IX39">
        <v>28484</v>
      </c>
      <c r="IY39">
        <v>253.76386199999999</v>
      </c>
      <c r="IZ39">
        <v>0</v>
      </c>
      <c r="JA39">
        <v>1.1000000000000001</v>
      </c>
      <c r="JB39">
        <v>0</v>
      </c>
      <c r="JC39">
        <v>1.2688189999999999</v>
      </c>
      <c r="JD39">
        <v>255.032681</v>
      </c>
      <c r="JE39">
        <v>256.13268099999999</v>
      </c>
      <c r="JF39">
        <v>99.075100000000006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74.8</v>
      </c>
      <c r="JM39">
        <v>9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8</v>
      </c>
      <c r="JU39">
        <v>0</v>
      </c>
      <c r="JV39">
        <v>0</v>
      </c>
      <c r="JW39">
        <v>507527.72399999999</v>
      </c>
      <c r="JX39">
        <v>2640</v>
      </c>
      <c r="JY39">
        <v>74.8</v>
      </c>
      <c r="JZ39">
        <v>9.0625</v>
      </c>
      <c r="KA39">
        <v>0</v>
      </c>
      <c r="KB39">
        <v>253.76386199999999</v>
      </c>
      <c r="KC39">
        <v>1.2688189999999999</v>
      </c>
      <c r="KD39">
        <v>0</v>
      </c>
      <c r="KE39">
        <v>0</v>
      </c>
      <c r="KF39">
        <v>0</v>
      </c>
      <c r="KG39">
        <v>1.1000000000000001</v>
      </c>
      <c r="KH39">
        <v>0</v>
      </c>
      <c r="KI39">
        <v>0</v>
      </c>
      <c r="KJ39" t="s">
        <v>669</v>
      </c>
      <c r="KK39">
        <v>0.28360000000000002</v>
      </c>
      <c r="KL39">
        <v>28482</v>
      </c>
      <c r="KM39">
        <v>113660</v>
      </c>
      <c r="KN39">
        <v>40000</v>
      </c>
      <c r="KP39">
        <v>210700</v>
      </c>
      <c r="KT39">
        <v>109120</v>
      </c>
      <c r="KW39">
        <v>44120</v>
      </c>
      <c r="MD39">
        <v>48520</v>
      </c>
      <c r="MP39">
        <v>113998</v>
      </c>
      <c r="MQ39">
        <v>39899</v>
      </c>
      <c r="MS39">
        <v>173601</v>
      </c>
      <c r="MW39">
        <v>108298</v>
      </c>
      <c r="MZ39">
        <v>45599</v>
      </c>
      <c r="OG39">
        <v>51299</v>
      </c>
      <c r="OT39">
        <v>3800</v>
      </c>
      <c r="PA39">
        <v>559</v>
      </c>
      <c r="PB39">
        <v>4095</v>
      </c>
      <c r="PC39">
        <v>413904</v>
      </c>
      <c r="PD39">
        <v>39747</v>
      </c>
      <c r="PE39">
        <v>9141</v>
      </c>
      <c r="PG39">
        <v>2</v>
      </c>
      <c r="PJ39">
        <v>12568</v>
      </c>
      <c r="PM39">
        <v>15621</v>
      </c>
      <c r="PN39">
        <v>2345</v>
      </c>
      <c r="PS39">
        <v>500</v>
      </c>
      <c r="PT39">
        <v>417</v>
      </c>
      <c r="PV39">
        <v>3609</v>
      </c>
      <c r="PW39">
        <v>5992</v>
      </c>
      <c r="PX39">
        <v>1041</v>
      </c>
      <c r="PY39">
        <v>3596</v>
      </c>
      <c r="QD39">
        <v>799</v>
      </c>
      <c r="QE39">
        <v>849</v>
      </c>
      <c r="QI39">
        <v>100</v>
      </c>
      <c r="QK39">
        <v>5</v>
      </c>
      <c r="QM39">
        <v>8</v>
      </c>
      <c r="QS39">
        <v>697</v>
      </c>
      <c r="QT39">
        <v>499</v>
      </c>
      <c r="QV39">
        <v>125</v>
      </c>
      <c r="QX39">
        <v>400</v>
      </c>
      <c r="QY39">
        <v>400</v>
      </c>
      <c r="SE39" s="1">
        <v>46086.322222222225</v>
      </c>
      <c r="SF39">
        <v>28482</v>
      </c>
      <c r="SG39">
        <v>408866</v>
      </c>
      <c r="SH39">
        <v>20</v>
      </c>
      <c r="SI39" t="s">
        <v>567</v>
      </c>
      <c r="SJ39">
        <v>50</v>
      </c>
      <c r="SK39" s="1">
        <v>46110.332071759258</v>
      </c>
      <c r="SZ39">
        <v>0.20899999999999999</v>
      </c>
      <c r="TA39">
        <v>1.3839999999999999</v>
      </c>
      <c r="TB39">
        <v>1.12E-2</v>
      </c>
      <c r="TC39">
        <v>1.6000000000000001E-3</v>
      </c>
      <c r="TD39">
        <v>0.2</v>
      </c>
      <c r="TE39">
        <v>0.126</v>
      </c>
      <c r="TF39">
        <v>0.16500000000000001</v>
      </c>
      <c r="TG39">
        <v>0.126</v>
      </c>
      <c r="TH39">
        <v>1.7000000000000001E-2</v>
      </c>
      <c r="TI39">
        <v>3.5000000000000003E-2</v>
      </c>
      <c r="TJ39">
        <v>7.0000000000000001E-3</v>
      </c>
      <c r="TK39">
        <v>4.0344800000000003</v>
      </c>
      <c r="TL39">
        <v>6.6000000000000003E-2</v>
      </c>
      <c r="TM39" t="s">
        <v>568</v>
      </c>
      <c r="TN39">
        <v>1.6999999999999999E-3</v>
      </c>
      <c r="TO39">
        <v>7.1000000000000004E-3</v>
      </c>
      <c r="TP39" t="s">
        <v>569</v>
      </c>
      <c r="TQ39">
        <v>8.6999999999999994E-3</v>
      </c>
      <c r="TR39" t="s">
        <v>570</v>
      </c>
      <c r="TS39" t="s">
        <v>578</v>
      </c>
      <c r="TU39">
        <v>0.30940000000000001</v>
      </c>
      <c r="TV39">
        <v>8.2000000000000007E-3</v>
      </c>
      <c r="UD39">
        <v>0.51</v>
      </c>
      <c r="UE39">
        <v>0.53910000000000002</v>
      </c>
      <c r="UF39">
        <v>0.82</v>
      </c>
      <c r="UH39">
        <v>3.1E-4</v>
      </c>
      <c r="UJ39">
        <v>0.4496</v>
      </c>
      <c r="UK39">
        <v>0.18</v>
      </c>
      <c r="UL39">
        <v>0.42</v>
      </c>
      <c r="UM39">
        <v>7.4099999999999999E-2</v>
      </c>
      <c r="UN39">
        <v>0.434</v>
      </c>
      <c r="UO39">
        <v>3.7967</v>
      </c>
      <c r="UP39">
        <v>1</v>
      </c>
      <c r="UQ39">
        <v>1</v>
      </c>
      <c r="UR39" s="1">
        <v>46086.322222222225</v>
      </c>
    </row>
    <row r="40" spans="1:564" x14ac:dyDescent="0.35">
      <c r="A40">
        <v>28483</v>
      </c>
      <c r="B40">
        <v>18520</v>
      </c>
      <c r="C40">
        <v>850</v>
      </c>
      <c r="D40">
        <v>26134</v>
      </c>
      <c r="G40" t="s">
        <v>668</v>
      </c>
      <c r="H40">
        <v>500000</v>
      </c>
      <c r="L40" t="s">
        <v>586</v>
      </c>
      <c r="M40">
        <v>74.8</v>
      </c>
      <c r="N40">
        <v>330</v>
      </c>
      <c r="O40" t="s">
        <v>596</v>
      </c>
      <c r="P40">
        <v>23</v>
      </c>
      <c r="S40" s="1">
        <v>46110.213807870372</v>
      </c>
      <c r="U40">
        <v>75</v>
      </c>
      <c r="W40">
        <v>21</v>
      </c>
      <c r="X40">
        <v>460920</v>
      </c>
      <c r="Y40" s="1">
        <v>46110.281157407408</v>
      </c>
      <c r="AB40">
        <v>91475</v>
      </c>
      <c r="AC40">
        <v>304</v>
      </c>
      <c r="AD40">
        <v>1112</v>
      </c>
      <c r="AE40">
        <v>130181</v>
      </c>
      <c r="AF40">
        <v>0.08</v>
      </c>
      <c r="AG40">
        <v>420</v>
      </c>
      <c r="AH40">
        <v>2912</v>
      </c>
      <c r="AI40">
        <v>0.05</v>
      </c>
      <c r="AJ40">
        <v>720</v>
      </c>
      <c r="AK40">
        <v>2984</v>
      </c>
      <c r="AL40">
        <v>13</v>
      </c>
      <c r="AM40" t="s">
        <v>838</v>
      </c>
      <c r="AO40" s="1">
        <v>46110.282395833332</v>
      </c>
      <c r="AP40">
        <v>1</v>
      </c>
      <c r="AS40" s="1">
        <v>46110.286932870367</v>
      </c>
      <c r="AT40" s="1">
        <v>46110.332106481481</v>
      </c>
      <c r="AU40">
        <v>15</v>
      </c>
      <c r="AV40">
        <v>56</v>
      </c>
      <c r="AY40">
        <v>491999</v>
      </c>
      <c r="AZ40">
        <v>479995</v>
      </c>
      <c r="BA40">
        <v>10060</v>
      </c>
      <c r="BB40">
        <v>2982</v>
      </c>
      <c r="BC40">
        <v>2861</v>
      </c>
      <c r="BD40">
        <v>0</v>
      </c>
      <c r="BG40" s="1">
        <v>46110.332557870373</v>
      </c>
      <c r="BH40" s="1">
        <v>46110.340648148151</v>
      </c>
      <c r="BI40" s="1">
        <v>46110.378576388888</v>
      </c>
      <c r="BJ40" s="1">
        <v>46110.426377314812</v>
      </c>
      <c r="BK40">
        <v>1.1000000000000001</v>
      </c>
      <c r="BM40">
        <v>4123</v>
      </c>
      <c r="BS40" t="s">
        <v>839</v>
      </c>
      <c r="BT40" s="1">
        <v>46110.345509259256</v>
      </c>
      <c r="BU40" s="1">
        <v>46110.392731481479</v>
      </c>
      <c r="BV40" t="b">
        <v>0</v>
      </c>
      <c r="BX40">
        <v>6</v>
      </c>
      <c r="BY40" t="b">
        <v>0</v>
      </c>
      <c r="CD40">
        <v>1</v>
      </c>
      <c r="CF40" s="1">
        <v>46109.986331018517</v>
      </c>
      <c r="CG40" t="b">
        <v>0</v>
      </c>
      <c r="CH40" t="b">
        <v>0</v>
      </c>
      <c r="CI40" t="b">
        <v>0</v>
      </c>
      <c r="CJ40" t="b">
        <v>0</v>
      </c>
      <c r="CK40" t="b">
        <v>0</v>
      </c>
      <c r="CL40" t="b">
        <v>0</v>
      </c>
      <c r="CM40" t="b">
        <v>0</v>
      </c>
      <c r="CN40" t="b">
        <v>0</v>
      </c>
      <c r="CP40">
        <v>6</v>
      </c>
      <c r="CR40">
        <v>2</v>
      </c>
      <c r="CS40">
        <v>2791</v>
      </c>
      <c r="CT40">
        <v>2816</v>
      </c>
      <c r="CU40">
        <v>2816</v>
      </c>
      <c r="CZ40">
        <v>6</v>
      </c>
      <c r="DA40">
        <v>6.42</v>
      </c>
      <c r="DB40">
        <v>8.08</v>
      </c>
      <c r="DC40">
        <v>7.35</v>
      </c>
      <c r="DH40">
        <v>4456</v>
      </c>
      <c r="DI40">
        <v>4460</v>
      </c>
      <c r="DJ40">
        <v>418</v>
      </c>
      <c r="DK40">
        <v>416</v>
      </c>
      <c r="DP40">
        <v>4437</v>
      </c>
      <c r="DQ40">
        <v>4436</v>
      </c>
      <c r="DR40">
        <v>415</v>
      </c>
      <c r="DS40">
        <v>416</v>
      </c>
      <c r="DX40">
        <v>4474</v>
      </c>
      <c r="DY40">
        <v>4457</v>
      </c>
      <c r="DZ40">
        <v>414</v>
      </c>
      <c r="EA40">
        <v>416</v>
      </c>
      <c r="EB40" s="1">
        <v>46110.39303240741</v>
      </c>
      <c r="EG40" s="1">
        <v>46110.426377314812</v>
      </c>
      <c r="EJ40" s="1">
        <v>46110.558113425926</v>
      </c>
      <c r="EK40">
        <v>0.05</v>
      </c>
      <c r="EL40">
        <v>740</v>
      </c>
      <c r="EM40">
        <v>2994</v>
      </c>
      <c r="EQ40">
        <v>3.99</v>
      </c>
      <c r="ER40">
        <v>9</v>
      </c>
      <c r="ES40">
        <v>2982</v>
      </c>
      <c r="ET40">
        <v>0</v>
      </c>
      <c r="EU40">
        <v>0</v>
      </c>
      <c r="EV40">
        <v>2914</v>
      </c>
      <c r="EW40">
        <v>0</v>
      </c>
      <c r="EX40">
        <v>0</v>
      </c>
      <c r="EY40">
        <v>2863</v>
      </c>
      <c r="EZ40">
        <v>0</v>
      </c>
      <c r="FA40">
        <v>0</v>
      </c>
      <c r="FB40">
        <v>2861</v>
      </c>
      <c r="FC40">
        <v>8.1</v>
      </c>
      <c r="FK40">
        <v>114</v>
      </c>
      <c r="FL40" s="1">
        <v>46110.557893518519</v>
      </c>
      <c r="FM40">
        <v>108</v>
      </c>
      <c r="FN40" t="s">
        <v>669</v>
      </c>
      <c r="FO40" t="s">
        <v>669</v>
      </c>
      <c r="FP40">
        <v>108</v>
      </c>
      <c r="FQ40" t="s">
        <v>669</v>
      </c>
      <c r="FR40" t="s">
        <v>669</v>
      </c>
      <c r="FS40" t="s">
        <v>670</v>
      </c>
      <c r="FT40" t="s">
        <v>582</v>
      </c>
      <c r="FV40" t="s">
        <v>573</v>
      </c>
      <c r="FW40" t="b">
        <v>0</v>
      </c>
      <c r="GA40" t="s">
        <v>840</v>
      </c>
      <c r="GB40">
        <v>18520</v>
      </c>
      <c r="GC40" s="1">
        <v>46110.345509259256</v>
      </c>
      <c r="GD40" t="s">
        <v>590</v>
      </c>
      <c r="GE40" t="s">
        <v>591</v>
      </c>
      <c r="GF40">
        <v>97</v>
      </c>
      <c r="GG40">
        <v>65</v>
      </c>
      <c r="GH40">
        <v>68</v>
      </c>
      <c r="GI40" t="s">
        <v>574</v>
      </c>
      <c r="GJ40">
        <v>230.46</v>
      </c>
      <c r="GL40">
        <v>1887</v>
      </c>
      <c r="GN40" t="s">
        <v>671</v>
      </c>
      <c r="GP40">
        <v>1887</v>
      </c>
      <c r="GR40" t="s">
        <v>671</v>
      </c>
      <c r="HI40" s="2">
        <v>46110</v>
      </c>
      <c r="HJ40" t="s">
        <v>593</v>
      </c>
      <c r="HK40" t="s">
        <v>537</v>
      </c>
      <c r="HM40">
        <v>7</v>
      </c>
      <c r="HN40">
        <v>2</v>
      </c>
      <c r="HV40">
        <v>1</v>
      </c>
      <c r="HW40" t="b">
        <v>0</v>
      </c>
      <c r="IB40">
        <v>2855</v>
      </c>
      <c r="IJ40">
        <v>2753</v>
      </c>
      <c r="IK40">
        <v>38</v>
      </c>
      <c r="IL40">
        <v>63</v>
      </c>
      <c r="IM40">
        <v>63</v>
      </c>
      <c r="IN40" t="s">
        <v>594</v>
      </c>
      <c r="IO40" t="s">
        <v>619</v>
      </c>
      <c r="IP40" t="s">
        <v>619</v>
      </c>
      <c r="IR40">
        <v>10</v>
      </c>
      <c r="IT40" t="s">
        <v>822</v>
      </c>
      <c r="IV40">
        <v>28483</v>
      </c>
      <c r="IW40">
        <v>28461</v>
      </c>
      <c r="IX40">
        <v>28484</v>
      </c>
      <c r="IY40">
        <v>253.76386199999999</v>
      </c>
      <c r="IZ40">
        <v>0</v>
      </c>
      <c r="JA40">
        <v>1.1000000000000001</v>
      </c>
      <c r="JB40">
        <v>0</v>
      </c>
      <c r="JC40">
        <v>1.2688189999999999</v>
      </c>
      <c r="JD40">
        <v>255.032681</v>
      </c>
      <c r="JE40">
        <v>256.13268099999999</v>
      </c>
      <c r="JF40">
        <v>99.075100000000006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74.8</v>
      </c>
      <c r="JM40">
        <v>9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8</v>
      </c>
      <c r="JU40">
        <v>0</v>
      </c>
      <c r="JV40">
        <v>0</v>
      </c>
      <c r="JW40">
        <v>507527.72399999999</v>
      </c>
      <c r="JX40">
        <v>2640</v>
      </c>
      <c r="JY40">
        <v>74.8</v>
      </c>
      <c r="JZ40">
        <v>9.0625</v>
      </c>
      <c r="KA40">
        <v>0</v>
      </c>
      <c r="KB40">
        <v>253.76386199999999</v>
      </c>
      <c r="KC40">
        <v>1.2688189999999999</v>
      </c>
      <c r="KD40">
        <v>0</v>
      </c>
      <c r="KE40">
        <v>0</v>
      </c>
      <c r="KF40">
        <v>0</v>
      </c>
      <c r="KG40">
        <v>1.1000000000000001</v>
      </c>
      <c r="KH40">
        <v>0</v>
      </c>
      <c r="KI40">
        <v>0</v>
      </c>
      <c r="KJ40" t="s">
        <v>669</v>
      </c>
      <c r="KK40">
        <v>0.28360000000000002</v>
      </c>
      <c r="KL40">
        <v>28483</v>
      </c>
      <c r="KM40">
        <v>120420</v>
      </c>
      <c r="KN40">
        <v>39400</v>
      </c>
      <c r="KP40">
        <v>219220</v>
      </c>
      <c r="KT40">
        <v>116320</v>
      </c>
      <c r="KW40">
        <v>46640</v>
      </c>
      <c r="MD40">
        <v>55860</v>
      </c>
      <c r="MP40">
        <v>119998</v>
      </c>
      <c r="MQ40">
        <v>41999</v>
      </c>
      <c r="MS40">
        <v>167509</v>
      </c>
      <c r="MW40">
        <v>113998</v>
      </c>
      <c r="MZ40">
        <v>47999</v>
      </c>
      <c r="OG40">
        <v>53999</v>
      </c>
      <c r="OT40">
        <v>3816</v>
      </c>
      <c r="PA40">
        <v>583</v>
      </c>
      <c r="PB40">
        <v>4151</v>
      </c>
      <c r="PC40">
        <v>402024</v>
      </c>
      <c r="PD40">
        <v>42425</v>
      </c>
      <c r="PE40">
        <v>9488</v>
      </c>
      <c r="PG40">
        <v>3</v>
      </c>
      <c r="PJ40">
        <v>17496</v>
      </c>
      <c r="PM40">
        <v>15755</v>
      </c>
      <c r="PN40">
        <v>2296</v>
      </c>
      <c r="PT40">
        <v>545</v>
      </c>
      <c r="PV40">
        <v>2624</v>
      </c>
      <c r="PW40">
        <v>6392</v>
      </c>
      <c r="PX40">
        <v>803</v>
      </c>
      <c r="PY40">
        <v>3389</v>
      </c>
      <c r="QD40">
        <v>499</v>
      </c>
      <c r="QE40">
        <v>849</v>
      </c>
      <c r="QK40">
        <v>4</v>
      </c>
      <c r="QM40">
        <v>5</v>
      </c>
      <c r="QS40">
        <v>663</v>
      </c>
      <c r="QT40">
        <v>350</v>
      </c>
      <c r="QV40">
        <v>50</v>
      </c>
      <c r="QW40">
        <v>300</v>
      </c>
      <c r="QX40">
        <v>500</v>
      </c>
      <c r="QY40">
        <v>500</v>
      </c>
      <c r="SE40" s="1">
        <v>46086.322222222225</v>
      </c>
      <c r="SF40">
        <v>28483</v>
      </c>
      <c r="SG40">
        <v>408880</v>
      </c>
      <c r="SH40">
        <v>20</v>
      </c>
      <c r="SI40" t="s">
        <v>567</v>
      </c>
      <c r="SJ40">
        <v>50</v>
      </c>
      <c r="SK40" s="1">
        <v>46110.379432870373</v>
      </c>
      <c r="SZ40">
        <v>0.217</v>
      </c>
      <c r="TA40">
        <v>1.379</v>
      </c>
      <c r="TB40">
        <v>1.03E-2</v>
      </c>
      <c r="TC40">
        <v>1.9E-3</v>
      </c>
      <c r="TD40">
        <v>0.182</v>
      </c>
      <c r="TE40">
        <v>0.126</v>
      </c>
      <c r="TF40">
        <v>0.17699999999999999</v>
      </c>
      <c r="TG40">
        <v>0.11799999999999999</v>
      </c>
      <c r="TH40">
        <v>0.02</v>
      </c>
      <c r="TI40">
        <v>3.1E-2</v>
      </c>
      <c r="TJ40">
        <v>8.0000000000000002E-3</v>
      </c>
      <c r="TK40">
        <v>2.7767900000000001</v>
      </c>
      <c r="TL40">
        <v>6.5000000000000002E-2</v>
      </c>
      <c r="TM40">
        <v>1.4E-3</v>
      </c>
      <c r="TN40">
        <v>2.0999999999999999E-3</v>
      </c>
      <c r="TO40">
        <v>6.0000000000000001E-3</v>
      </c>
      <c r="TP40" t="s">
        <v>569</v>
      </c>
      <c r="TQ40">
        <v>1.12E-2</v>
      </c>
      <c r="TR40" t="s">
        <v>570</v>
      </c>
      <c r="TS40" t="s">
        <v>578</v>
      </c>
      <c r="TU40">
        <v>0.31769999999999998</v>
      </c>
      <c r="TV40">
        <v>8.0000000000000002E-3</v>
      </c>
      <c r="UD40">
        <v>0.52</v>
      </c>
      <c r="UE40">
        <v>0.54600000000000004</v>
      </c>
      <c r="UF40">
        <v>0.54</v>
      </c>
      <c r="UH40">
        <v>3.5E-4</v>
      </c>
      <c r="UJ40">
        <v>0.45679999999999998</v>
      </c>
      <c r="UK40">
        <v>0.19</v>
      </c>
      <c r="UL40">
        <v>0.42</v>
      </c>
      <c r="UM40">
        <v>7.2400000000000006E-2</v>
      </c>
      <c r="UN40">
        <v>0.441</v>
      </c>
      <c r="UO40">
        <v>3.7471000000000001</v>
      </c>
      <c r="UP40">
        <v>1.07</v>
      </c>
      <c r="UQ40">
        <v>0.94</v>
      </c>
      <c r="UR40" s="1">
        <v>46086.322222222225</v>
      </c>
    </row>
    <row r="41" spans="1:564" x14ac:dyDescent="0.35">
      <c r="A41">
        <v>28484</v>
      </c>
      <c r="B41">
        <v>18521</v>
      </c>
      <c r="C41">
        <v>850</v>
      </c>
      <c r="D41">
        <v>26134</v>
      </c>
      <c r="G41" t="s">
        <v>668</v>
      </c>
      <c r="H41">
        <v>500000</v>
      </c>
      <c r="L41" t="s">
        <v>586</v>
      </c>
      <c r="M41">
        <v>74.8</v>
      </c>
      <c r="N41">
        <v>330</v>
      </c>
      <c r="O41" t="s">
        <v>596</v>
      </c>
      <c r="P41">
        <v>24</v>
      </c>
      <c r="S41" s="1">
        <v>46110.281157407408</v>
      </c>
      <c r="U41">
        <v>71</v>
      </c>
      <c r="W41">
        <v>10</v>
      </c>
      <c r="X41">
        <v>495910</v>
      </c>
      <c r="Y41" s="1">
        <v>46110.337951388887</v>
      </c>
      <c r="AB41">
        <v>75849</v>
      </c>
      <c r="AC41">
        <v>305</v>
      </c>
      <c r="AD41">
        <v>1113</v>
      </c>
      <c r="AE41">
        <v>150574</v>
      </c>
      <c r="AF41">
        <v>0.13</v>
      </c>
      <c r="AG41">
        <v>266</v>
      </c>
      <c r="AH41">
        <v>2926</v>
      </c>
      <c r="AI41">
        <v>0.05</v>
      </c>
      <c r="AJ41">
        <v>758</v>
      </c>
      <c r="AK41">
        <v>3045</v>
      </c>
      <c r="AL41">
        <v>3</v>
      </c>
      <c r="AM41" t="s">
        <v>604</v>
      </c>
      <c r="AO41" s="1">
        <v>46110.339016203703</v>
      </c>
      <c r="AP41">
        <v>2</v>
      </c>
      <c r="AS41" s="1">
        <v>46110.338645833333</v>
      </c>
      <c r="AT41" s="1">
        <v>46110.382789351854</v>
      </c>
      <c r="AU41">
        <v>13</v>
      </c>
      <c r="AV41">
        <v>48</v>
      </c>
      <c r="AY41">
        <v>467626</v>
      </c>
      <c r="AZ41">
        <v>461528</v>
      </c>
      <c r="BA41">
        <v>275770</v>
      </c>
      <c r="BB41">
        <v>2906</v>
      </c>
      <c r="BC41">
        <v>2856</v>
      </c>
      <c r="BD41">
        <v>0</v>
      </c>
      <c r="BG41" s="1">
        <v>46110.383263888885</v>
      </c>
      <c r="BH41" s="1">
        <v>46110.391574074078</v>
      </c>
      <c r="BI41" s="1">
        <v>46110.426388888889</v>
      </c>
      <c r="BJ41" s="1">
        <v>46110.480300925927</v>
      </c>
      <c r="BK41">
        <v>1.1000000000000001</v>
      </c>
      <c r="BL41">
        <v>8</v>
      </c>
      <c r="BM41">
        <v>4123</v>
      </c>
      <c r="BT41" s="1">
        <v>46110.39435185185</v>
      </c>
      <c r="BU41" s="1">
        <v>46110.43949074074</v>
      </c>
      <c r="BV41" t="b">
        <v>0</v>
      </c>
      <c r="BX41">
        <v>6</v>
      </c>
      <c r="BY41" t="b">
        <v>0</v>
      </c>
      <c r="CD41">
        <v>1</v>
      </c>
      <c r="CF41" s="1">
        <v>46109.986481481479</v>
      </c>
      <c r="CG41" t="b">
        <v>0</v>
      </c>
      <c r="CH41" t="b">
        <v>0</v>
      </c>
      <c r="CI41" t="b">
        <v>0</v>
      </c>
      <c r="CJ41" t="b">
        <v>0</v>
      </c>
      <c r="CK41" t="b">
        <v>0</v>
      </c>
      <c r="CL41" t="b">
        <v>0</v>
      </c>
      <c r="CM41" t="b">
        <v>0</v>
      </c>
      <c r="CN41" t="b">
        <v>0</v>
      </c>
      <c r="CP41">
        <v>6</v>
      </c>
      <c r="CR41">
        <v>2</v>
      </c>
      <c r="CS41">
        <v>2814</v>
      </c>
      <c r="CT41">
        <v>2810</v>
      </c>
      <c r="CU41">
        <v>2803</v>
      </c>
      <c r="CZ41">
        <v>7.87</v>
      </c>
      <c r="DA41">
        <v>7.39</v>
      </c>
      <c r="DB41">
        <v>8.8800000000000008</v>
      </c>
      <c r="DC41">
        <v>8.2100000000000009</v>
      </c>
      <c r="DH41">
        <v>4456</v>
      </c>
      <c r="DI41">
        <v>4447</v>
      </c>
      <c r="DJ41">
        <v>417</v>
      </c>
      <c r="DK41">
        <v>415</v>
      </c>
      <c r="DP41">
        <v>4438</v>
      </c>
      <c r="DQ41">
        <v>4469</v>
      </c>
      <c r="DR41">
        <v>418</v>
      </c>
      <c r="DS41">
        <v>415</v>
      </c>
      <c r="DX41">
        <v>4448</v>
      </c>
      <c r="DY41">
        <v>4454</v>
      </c>
      <c r="DZ41">
        <v>415</v>
      </c>
      <c r="EA41">
        <v>417</v>
      </c>
      <c r="EB41" s="1">
        <v>46110.454074074078</v>
      </c>
      <c r="EF41">
        <v>39</v>
      </c>
      <c r="EG41" s="1">
        <v>46110.480300925927</v>
      </c>
      <c r="EJ41" s="1">
        <v>46110.559733796297</v>
      </c>
      <c r="EQ41">
        <v>1.82</v>
      </c>
      <c r="ER41">
        <v>19</v>
      </c>
      <c r="ES41">
        <v>2906</v>
      </c>
      <c r="ET41">
        <v>0</v>
      </c>
      <c r="EU41">
        <v>0</v>
      </c>
      <c r="EV41">
        <v>2892</v>
      </c>
      <c r="EW41">
        <v>0</v>
      </c>
      <c r="EX41">
        <v>0</v>
      </c>
      <c r="EY41">
        <v>2885</v>
      </c>
      <c r="EZ41">
        <v>0</v>
      </c>
      <c r="FA41">
        <v>0</v>
      </c>
      <c r="FB41">
        <v>2872</v>
      </c>
      <c r="FC41">
        <v>6.6</v>
      </c>
      <c r="FJ41" t="s">
        <v>841</v>
      </c>
      <c r="FK41">
        <v>97</v>
      </c>
      <c r="FL41" s="1">
        <v>46110.559537037036</v>
      </c>
      <c r="FM41">
        <v>108</v>
      </c>
      <c r="FN41" t="s">
        <v>669</v>
      </c>
      <c r="FO41" t="s">
        <v>669</v>
      </c>
      <c r="FP41">
        <v>108</v>
      </c>
      <c r="FQ41" t="s">
        <v>669</v>
      </c>
      <c r="FR41" t="s">
        <v>669</v>
      </c>
      <c r="FS41" t="s">
        <v>670</v>
      </c>
      <c r="FT41" t="s">
        <v>589</v>
      </c>
      <c r="FV41" t="s">
        <v>573</v>
      </c>
      <c r="FW41" t="b">
        <v>0</v>
      </c>
      <c r="GA41" t="s">
        <v>842</v>
      </c>
      <c r="GB41">
        <v>18521</v>
      </c>
      <c r="GC41" s="1">
        <v>46110.39435185185</v>
      </c>
      <c r="GD41" t="s">
        <v>590</v>
      </c>
      <c r="GE41" t="s">
        <v>591</v>
      </c>
      <c r="GF41">
        <v>82</v>
      </c>
      <c r="GG41">
        <v>64</v>
      </c>
      <c r="GH41">
        <v>77</v>
      </c>
      <c r="GI41" t="s">
        <v>565</v>
      </c>
      <c r="GJ41">
        <v>247.96</v>
      </c>
      <c r="GL41">
        <v>1887</v>
      </c>
      <c r="GN41" t="s">
        <v>671</v>
      </c>
      <c r="GP41">
        <v>1887</v>
      </c>
      <c r="GR41" t="s">
        <v>671</v>
      </c>
      <c r="GT41">
        <v>1940</v>
      </c>
      <c r="GV41">
        <v>9.8000000000000007</v>
      </c>
      <c r="GX41">
        <v>9.9</v>
      </c>
      <c r="GZ41">
        <v>8.4</v>
      </c>
      <c r="HB41">
        <v>8.6999999999999993</v>
      </c>
      <c r="HD41">
        <v>74.75</v>
      </c>
      <c r="HF41">
        <v>75</v>
      </c>
      <c r="HI41" s="2">
        <v>46110</v>
      </c>
      <c r="HJ41" t="s">
        <v>593</v>
      </c>
      <c r="HK41" t="s">
        <v>537</v>
      </c>
      <c r="HM41">
        <v>8</v>
      </c>
      <c r="HN41">
        <v>2</v>
      </c>
      <c r="HV41">
        <v>1</v>
      </c>
      <c r="HW41" t="b">
        <v>1</v>
      </c>
      <c r="HX41" s="1">
        <v>46110.450833333336</v>
      </c>
      <c r="HY41" t="b">
        <v>0</v>
      </c>
      <c r="IB41">
        <v>2855</v>
      </c>
      <c r="IJ41">
        <v>2753</v>
      </c>
      <c r="IK41">
        <v>61</v>
      </c>
      <c r="IL41">
        <v>57</v>
      </c>
      <c r="IM41">
        <v>50</v>
      </c>
      <c r="IN41" t="s">
        <v>594</v>
      </c>
      <c r="IO41" t="s">
        <v>619</v>
      </c>
      <c r="IP41" t="s">
        <v>619</v>
      </c>
      <c r="IR41">
        <v>12</v>
      </c>
      <c r="IT41" t="s">
        <v>822</v>
      </c>
      <c r="IU41" s="1">
        <v>46110.476886574077</v>
      </c>
      <c r="IV41">
        <v>28484</v>
      </c>
      <c r="IW41">
        <v>28461</v>
      </c>
      <c r="IX41">
        <v>28484</v>
      </c>
      <c r="IY41">
        <v>245.112821</v>
      </c>
      <c r="IZ41">
        <v>3.7487840000000001</v>
      </c>
      <c r="JA41">
        <v>9.1</v>
      </c>
      <c r="JB41">
        <v>0</v>
      </c>
      <c r="JC41">
        <v>1.244308</v>
      </c>
      <c r="JD41">
        <v>250.10591299999999</v>
      </c>
      <c r="JE41">
        <v>259.20591300000001</v>
      </c>
      <c r="JF41">
        <v>94.562899999999999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74.8</v>
      </c>
      <c r="JM41">
        <v>9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8</v>
      </c>
      <c r="JU41">
        <v>0</v>
      </c>
      <c r="JV41">
        <v>39</v>
      </c>
      <c r="JW41">
        <v>490225.64250000002</v>
      </c>
      <c r="JX41">
        <v>2550</v>
      </c>
      <c r="JY41">
        <v>74.8</v>
      </c>
      <c r="JZ41">
        <v>9.0625</v>
      </c>
      <c r="KA41">
        <v>39</v>
      </c>
      <c r="KB41">
        <v>245.112821</v>
      </c>
      <c r="KC41">
        <v>1.244308</v>
      </c>
      <c r="KD41">
        <v>3.7487840000000001</v>
      </c>
      <c r="KE41">
        <v>0</v>
      </c>
      <c r="KF41">
        <v>7497.5686500000002</v>
      </c>
      <c r="KG41">
        <v>1.1000000000000001</v>
      </c>
      <c r="KH41">
        <v>8</v>
      </c>
      <c r="KI41">
        <v>0</v>
      </c>
      <c r="KJ41" t="s">
        <v>669</v>
      </c>
      <c r="KK41">
        <v>0.28360000000000002</v>
      </c>
      <c r="KL41">
        <v>28484</v>
      </c>
      <c r="KM41">
        <v>92880</v>
      </c>
      <c r="KN41">
        <v>32640</v>
      </c>
      <c r="KP41">
        <v>179120</v>
      </c>
      <c r="KT41">
        <v>91380</v>
      </c>
      <c r="KW41">
        <v>38400</v>
      </c>
      <c r="MD41">
        <v>43540</v>
      </c>
      <c r="MP41">
        <v>95999</v>
      </c>
      <c r="MQ41">
        <v>33599</v>
      </c>
      <c r="MS41">
        <v>151728</v>
      </c>
      <c r="MW41">
        <v>91199</v>
      </c>
      <c r="MZ41">
        <v>38399</v>
      </c>
      <c r="OG41">
        <v>43199</v>
      </c>
      <c r="OT41">
        <v>3973</v>
      </c>
      <c r="PA41">
        <v>901</v>
      </c>
      <c r="PB41">
        <v>4009</v>
      </c>
      <c r="PC41">
        <v>369046</v>
      </c>
      <c r="PD41">
        <v>41157</v>
      </c>
      <c r="PE41">
        <v>7701</v>
      </c>
      <c r="PG41">
        <v>2</v>
      </c>
      <c r="PJ41">
        <v>17709</v>
      </c>
      <c r="PM41">
        <v>14909</v>
      </c>
      <c r="PN41">
        <v>2963</v>
      </c>
      <c r="PT41">
        <v>545</v>
      </c>
      <c r="PV41">
        <v>853</v>
      </c>
      <c r="PW41">
        <v>4395</v>
      </c>
      <c r="PX41">
        <v>453</v>
      </c>
      <c r="QE41">
        <v>849</v>
      </c>
      <c r="QK41">
        <v>5</v>
      </c>
      <c r="QM41">
        <v>5</v>
      </c>
      <c r="QS41">
        <v>200</v>
      </c>
      <c r="QT41">
        <v>300</v>
      </c>
      <c r="QW41">
        <v>300</v>
      </c>
      <c r="QX41">
        <v>100</v>
      </c>
      <c r="QY41">
        <v>350</v>
      </c>
      <c r="SE41" s="1">
        <v>46086.322222222225</v>
      </c>
      <c r="SF41">
        <v>28484</v>
      </c>
      <c r="SG41">
        <v>408893</v>
      </c>
      <c r="SH41">
        <v>20</v>
      </c>
      <c r="SI41" t="s">
        <v>567</v>
      </c>
      <c r="SJ41">
        <v>50</v>
      </c>
      <c r="SK41" s="1">
        <v>46110.430914351855</v>
      </c>
      <c r="SZ41">
        <v>0.20799999999999999</v>
      </c>
      <c r="TA41">
        <v>1.425</v>
      </c>
      <c r="TB41">
        <v>1.0200000000000001E-2</v>
      </c>
      <c r="TC41">
        <v>4.0000000000000001E-3</v>
      </c>
      <c r="TD41">
        <v>0.189</v>
      </c>
      <c r="TE41">
        <v>0.13</v>
      </c>
      <c r="TF41">
        <v>0.18</v>
      </c>
      <c r="TG41">
        <v>0.112</v>
      </c>
      <c r="TH41">
        <v>1.7000000000000001E-2</v>
      </c>
      <c r="TI41">
        <v>2.9000000000000001E-2</v>
      </c>
      <c r="TJ41">
        <v>8.0000000000000002E-3</v>
      </c>
      <c r="TK41">
        <v>2.81731</v>
      </c>
      <c r="TL41">
        <v>6.5000000000000002E-2</v>
      </c>
      <c r="TM41" t="s">
        <v>568</v>
      </c>
      <c r="TN41">
        <v>1.6999999999999999E-3</v>
      </c>
      <c r="TO41">
        <v>7.7999999999999996E-3</v>
      </c>
      <c r="TP41" t="s">
        <v>569</v>
      </c>
      <c r="TQ41">
        <v>1.04E-2</v>
      </c>
      <c r="TR41" t="s">
        <v>570</v>
      </c>
      <c r="TS41" t="s">
        <v>578</v>
      </c>
      <c r="TU41">
        <v>0.31059999999999999</v>
      </c>
      <c r="TV41">
        <v>7.7000000000000002E-3</v>
      </c>
      <c r="UD41">
        <v>0.51</v>
      </c>
      <c r="UE41">
        <v>0.54510000000000003</v>
      </c>
      <c r="UF41">
        <v>0.75</v>
      </c>
      <c r="UH41">
        <v>2.9999999999999997E-4</v>
      </c>
      <c r="UJ41">
        <v>0.45689999999999997</v>
      </c>
      <c r="UK41">
        <v>0.2</v>
      </c>
      <c r="UL41">
        <v>0.42</v>
      </c>
      <c r="UM41">
        <v>7.3700000000000002E-2</v>
      </c>
      <c r="UN41">
        <v>0.439</v>
      </c>
      <c r="UO41">
        <v>3.8094999999999999</v>
      </c>
      <c r="UP41">
        <v>1.1599999999999999</v>
      </c>
      <c r="UQ41">
        <v>0.86</v>
      </c>
      <c r="UR41" s="1">
        <v>46086.322222222225</v>
      </c>
    </row>
    <row r="42" spans="1:564" x14ac:dyDescent="0.35">
      <c r="A42">
        <v>28495</v>
      </c>
      <c r="B42">
        <v>18523</v>
      </c>
      <c r="C42">
        <v>850</v>
      </c>
      <c r="D42">
        <v>26135</v>
      </c>
      <c r="G42" t="s">
        <v>602</v>
      </c>
      <c r="H42">
        <v>500000</v>
      </c>
      <c r="J42">
        <v>49</v>
      </c>
      <c r="K42">
        <v>375</v>
      </c>
      <c r="L42" t="s">
        <v>579</v>
      </c>
      <c r="M42">
        <v>61</v>
      </c>
      <c r="N42">
        <v>307</v>
      </c>
      <c r="O42" t="s">
        <v>579</v>
      </c>
      <c r="P42">
        <v>26</v>
      </c>
      <c r="S42" s="1">
        <v>46110.580185185187</v>
      </c>
      <c r="U42">
        <v>71</v>
      </c>
      <c r="W42">
        <v>19</v>
      </c>
      <c r="X42">
        <v>495910</v>
      </c>
      <c r="Y42" s="1">
        <v>46110.643368055556</v>
      </c>
      <c r="AB42">
        <v>87040</v>
      </c>
      <c r="AC42">
        <v>307</v>
      </c>
      <c r="AD42">
        <v>1115</v>
      </c>
      <c r="AE42">
        <v>143982</v>
      </c>
      <c r="AF42">
        <v>0.1</v>
      </c>
      <c r="AG42">
        <v>333</v>
      </c>
      <c r="AH42">
        <v>2870</v>
      </c>
      <c r="AI42">
        <v>7.0000000000000007E-2</v>
      </c>
      <c r="AJ42">
        <v>514</v>
      </c>
      <c r="AK42">
        <v>2905</v>
      </c>
      <c r="AL42">
        <v>12</v>
      </c>
      <c r="AM42" t="s">
        <v>843</v>
      </c>
      <c r="AO42" s="1">
        <v>46110.791261574072</v>
      </c>
      <c r="AP42">
        <v>1</v>
      </c>
      <c r="AS42" s="1">
        <v>46110.647569444445</v>
      </c>
      <c r="AT42" s="1">
        <v>46110.790636574071</v>
      </c>
      <c r="AU42">
        <v>31</v>
      </c>
      <c r="AV42">
        <v>90</v>
      </c>
      <c r="AY42">
        <v>482794</v>
      </c>
      <c r="AZ42">
        <v>474075</v>
      </c>
      <c r="BA42">
        <v>280210</v>
      </c>
      <c r="BB42">
        <v>2944</v>
      </c>
      <c r="BC42">
        <v>2874</v>
      </c>
      <c r="BD42">
        <v>0</v>
      </c>
      <c r="BG42" s="1">
        <v>46110.791412037041</v>
      </c>
      <c r="BH42" s="1">
        <v>46110.798437500001</v>
      </c>
      <c r="BI42" s="1">
        <v>46110.838599537034</v>
      </c>
      <c r="BJ42" s="1">
        <v>46110.876851851855</v>
      </c>
      <c r="BK42">
        <v>1.1000000000000001</v>
      </c>
      <c r="BM42">
        <v>4124</v>
      </c>
      <c r="BT42" s="1">
        <v>46110.8046875</v>
      </c>
      <c r="BU42" s="1">
        <v>46110.839409722219</v>
      </c>
      <c r="BV42" t="b">
        <v>0</v>
      </c>
      <c r="BW42">
        <v>7</v>
      </c>
      <c r="BX42">
        <v>3</v>
      </c>
      <c r="BY42" t="b">
        <v>0</v>
      </c>
      <c r="CC42">
        <v>0.9</v>
      </c>
      <c r="CD42">
        <v>0.9</v>
      </c>
      <c r="CE42" s="1">
        <v>46110.587199074071</v>
      </c>
      <c r="CF42" s="1">
        <v>46110.587199074071</v>
      </c>
      <c r="CG42" t="b">
        <v>0</v>
      </c>
      <c r="CH42" t="b">
        <v>0</v>
      </c>
      <c r="CI42" t="b">
        <v>0</v>
      </c>
      <c r="CJ42" t="b">
        <v>0</v>
      </c>
      <c r="CK42" t="b">
        <v>0</v>
      </c>
      <c r="CL42" t="b">
        <v>0</v>
      </c>
      <c r="CM42" t="b">
        <v>0</v>
      </c>
      <c r="CN42" t="b">
        <v>0</v>
      </c>
      <c r="CO42">
        <v>2</v>
      </c>
      <c r="CP42">
        <v>6</v>
      </c>
      <c r="CQ42">
        <v>1</v>
      </c>
      <c r="CR42">
        <v>2</v>
      </c>
      <c r="CS42">
        <v>2837</v>
      </c>
      <c r="CT42">
        <v>2835</v>
      </c>
      <c r="CU42">
        <v>2838</v>
      </c>
      <c r="CV42">
        <v>4.5</v>
      </c>
      <c r="CW42">
        <v>4.13</v>
      </c>
      <c r="CX42">
        <v>7.99</v>
      </c>
      <c r="CY42">
        <v>7.54</v>
      </c>
      <c r="CZ42">
        <v>5.0999999999999996</v>
      </c>
      <c r="DA42">
        <v>5.58</v>
      </c>
      <c r="DB42">
        <v>7.68</v>
      </c>
      <c r="DC42">
        <v>7.65</v>
      </c>
      <c r="DD42">
        <v>4461</v>
      </c>
      <c r="DE42">
        <v>4453</v>
      </c>
      <c r="DF42">
        <v>416</v>
      </c>
      <c r="DG42">
        <v>418</v>
      </c>
      <c r="DH42">
        <v>4448</v>
      </c>
      <c r="DI42">
        <v>4461</v>
      </c>
      <c r="DJ42">
        <v>414</v>
      </c>
      <c r="DK42">
        <v>415</v>
      </c>
      <c r="EB42" s="1">
        <v>46110.839791666665</v>
      </c>
      <c r="EG42" s="1">
        <v>46110.876851851855</v>
      </c>
      <c r="EJ42" s="1">
        <v>46110.890914351854</v>
      </c>
      <c r="EK42">
        <v>0.04</v>
      </c>
      <c r="EL42">
        <v>856</v>
      </c>
      <c r="EM42">
        <v>2991</v>
      </c>
      <c r="EN42">
        <v>0.04</v>
      </c>
      <c r="EO42">
        <v>999</v>
      </c>
      <c r="EP42">
        <v>3016</v>
      </c>
      <c r="EQ42">
        <v>7.05</v>
      </c>
      <c r="ER42">
        <v>5</v>
      </c>
      <c r="ES42">
        <v>2944</v>
      </c>
      <c r="ET42">
        <v>0</v>
      </c>
      <c r="EU42">
        <v>0</v>
      </c>
      <c r="EV42">
        <v>2906</v>
      </c>
      <c r="EW42">
        <v>0</v>
      </c>
      <c r="EX42">
        <v>0</v>
      </c>
      <c r="EY42">
        <v>2958</v>
      </c>
      <c r="EZ42">
        <v>0</v>
      </c>
      <c r="FA42">
        <v>0</v>
      </c>
      <c r="FB42">
        <v>2872</v>
      </c>
      <c r="FC42">
        <v>6.5</v>
      </c>
      <c r="FJ42" t="s">
        <v>844</v>
      </c>
      <c r="FK42">
        <v>114</v>
      </c>
      <c r="FL42" s="1">
        <v>46110.890682870369</v>
      </c>
      <c r="FM42">
        <v>88</v>
      </c>
      <c r="FN42">
        <v>7604</v>
      </c>
      <c r="FO42">
        <v>7604</v>
      </c>
      <c r="FP42">
        <v>88</v>
      </c>
      <c r="FQ42">
        <v>7604</v>
      </c>
      <c r="FR42">
        <v>7604</v>
      </c>
      <c r="FS42" t="s">
        <v>605</v>
      </c>
      <c r="FT42" t="s">
        <v>589</v>
      </c>
      <c r="FV42" t="s">
        <v>573</v>
      </c>
      <c r="FW42" t="b">
        <v>0</v>
      </c>
      <c r="GA42" t="s">
        <v>845</v>
      </c>
      <c r="GB42">
        <v>18523</v>
      </c>
      <c r="GC42" s="1">
        <v>46110.8046875</v>
      </c>
      <c r="GD42" t="s">
        <v>658</v>
      </c>
      <c r="GE42" t="s">
        <v>659</v>
      </c>
      <c r="GF42">
        <v>91</v>
      </c>
      <c r="GG42">
        <v>206</v>
      </c>
      <c r="GH42">
        <v>55</v>
      </c>
      <c r="GI42" t="s">
        <v>574</v>
      </c>
      <c r="GJ42">
        <v>247.96</v>
      </c>
      <c r="GK42">
        <v>2690</v>
      </c>
      <c r="GL42">
        <v>2117</v>
      </c>
      <c r="GM42" t="s">
        <v>660</v>
      </c>
      <c r="GN42" t="s">
        <v>661</v>
      </c>
      <c r="GO42">
        <v>2690</v>
      </c>
      <c r="GP42">
        <v>2117</v>
      </c>
      <c r="GQ42" t="s">
        <v>660</v>
      </c>
      <c r="GR42" t="s">
        <v>661</v>
      </c>
      <c r="HI42" s="2">
        <v>46110</v>
      </c>
      <c r="HJ42" t="s">
        <v>581</v>
      </c>
      <c r="HK42" t="s">
        <v>519</v>
      </c>
      <c r="HM42">
        <v>2</v>
      </c>
      <c r="HN42">
        <v>1</v>
      </c>
      <c r="HV42">
        <v>1</v>
      </c>
      <c r="HW42" t="b">
        <v>0</v>
      </c>
      <c r="IB42">
        <v>2865</v>
      </c>
      <c r="IJ42">
        <v>2775</v>
      </c>
      <c r="IK42">
        <v>62</v>
      </c>
      <c r="IL42">
        <v>60</v>
      </c>
      <c r="IM42">
        <v>63</v>
      </c>
      <c r="IN42" t="s">
        <v>606</v>
      </c>
      <c r="IO42" t="s">
        <v>663</v>
      </c>
      <c r="IP42" t="s">
        <v>663</v>
      </c>
      <c r="IQ42" t="s">
        <v>577</v>
      </c>
      <c r="IR42">
        <v>12</v>
      </c>
      <c r="IT42" t="s">
        <v>846</v>
      </c>
      <c r="IV42">
        <v>28495</v>
      </c>
      <c r="IW42">
        <v>28041</v>
      </c>
      <c r="IX42">
        <v>28496</v>
      </c>
      <c r="IY42">
        <v>263.52006499999999</v>
      </c>
      <c r="IZ42">
        <v>0</v>
      </c>
      <c r="JA42">
        <v>1.1000000000000001</v>
      </c>
      <c r="JB42">
        <v>0</v>
      </c>
      <c r="JC42">
        <v>1.317599</v>
      </c>
      <c r="JD42">
        <v>264.83766400000002</v>
      </c>
      <c r="JE42">
        <v>265.93766399999998</v>
      </c>
      <c r="JF42">
        <v>99.090900000000005</v>
      </c>
      <c r="JG42">
        <v>5</v>
      </c>
      <c r="JH42">
        <v>0</v>
      </c>
      <c r="JI42">
        <v>0</v>
      </c>
      <c r="JJ42">
        <v>238729.16250000001</v>
      </c>
      <c r="JK42">
        <v>1875</v>
      </c>
      <c r="JL42">
        <v>49.2</v>
      </c>
      <c r="JM42">
        <v>9.125</v>
      </c>
      <c r="JN42">
        <v>0</v>
      </c>
      <c r="JO42">
        <v>119.364581</v>
      </c>
      <c r="JP42">
        <v>0.59682199999999996</v>
      </c>
      <c r="JQ42">
        <v>0</v>
      </c>
      <c r="JR42">
        <v>0</v>
      </c>
      <c r="JS42">
        <v>0</v>
      </c>
      <c r="JT42">
        <v>6</v>
      </c>
      <c r="JU42">
        <v>0</v>
      </c>
      <c r="JV42">
        <v>0</v>
      </c>
      <c r="JW42">
        <v>288310.96822500002</v>
      </c>
      <c r="JX42">
        <v>1842</v>
      </c>
      <c r="JY42">
        <v>60.9</v>
      </c>
      <c r="JZ42">
        <v>9.0625</v>
      </c>
      <c r="KA42">
        <v>0</v>
      </c>
      <c r="KB42">
        <v>144.155484</v>
      </c>
      <c r="KC42">
        <v>0.720777</v>
      </c>
      <c r="KD42">
        <v>0</v>
      </c>
      <c r="KE42">
        <v>0</v>
      </c>
      <c r="KF42">
        <v>0</v>
      </c>
      <c r="KG42">
        <v>1.1000000000000001</v>
      </c>
      <c r="KH42">
        <v>0</v>
      </c>
      <c r="KI42">
        <v>0</v>
      </c>
      <c r="KJ42">
        <v>7604</v>
      </c>
      <c r="KK42">
        <v>0.28360000000000002</v>
      </c>
      <c r="KL42">
        <v>28495</v>
      </c>
      <c r="KM42">
        <v>175820</v>
      </c>
      <c r="KN42">
        <v>46360</v>
      </c>
      <c r="KP42">
        <v>197600</v>
      </c>
      <c r="KW42">
        <v>47560</v>
      </c>
      <c r="KX42">
        <v>26860</v>
      </c>
      <c r="LV42">
        <v>41940</v>
      </c>
      <c r="MD42">
        <v>46920</v>
      </c>
      <c r="MP42">
        <v>174038</v>
      </c>
      <c r="MQ42">
        <v>46410</v>
      </c>
      <c r="MS42">
        <v>132814</v>
      </c>
      <c r="MZ42">
        <v>46410</v>
      </c>
      <c r="NP42">
        <v>29006</v>
      </c>
      <c r="NY42">
        <v>40609</v>
      </c>
      <c r="OG42">
        <v>46410</v>
      </c>
      <c r="OT42">
        <v>4119</v>
      </c>
      <c r="PA42">
        <v>662</v>
      </c>
      <c r="PB42">
        <v>4061</v>
      </c>
      <c r="PC42">
        <v>386084</v>
      </c>
      <c r="PD42">
        <v>43221</v>
      </c>
      <c r="PE42">
        <v>8392</v>
      </c>
      <c r="PG42">
        <v>4</v>
      </c>
      <c r="PJ42">
        <v>12335</v>
      </c>
      <c r="PM42">
        <v>15445</v>
      </c>
      <c r="PV42">
        <v>494</v>
      </c>
      <c r="PW42">
        <v>4428</v>
      </c>
      <c r="PX42">
        <v>956</v>
      </c>
      <c r="QA42">
        <v>2911</v>
      </c>
      <c r="QD42">
        <v>150</v>
      </c>
      <c r="QE42">
        <v>949</v>
      </c>
      <c r="QG42">
        <v>520</v>
      </c>
      <c r="QI42">
        <v>150</v>
      </c>
      <c r="QK42">
        <v>8</v>
      </c>
      <c r="QM42">
        <v>18</v>
      </c>
      <c r="QN42">
        <v>215</v>
      </c>
      <c r="QS42">
        <v>550</v>
      </c>
      <c r="RL42">
        <v>9</v>
      </c>
      <c r="RN42">
        <v>3</v>
      </c>
      <c r="RO42">
        <v>1</v>
      </c>
      <c r="RP42">
        <v>1</v>
      </c>
      <c r="SD42">
        <v>6</v>
      </c>
      <c r="SE42" s="1">
        <v>46086.322222222225</v>
      </c>
      <c r="SF42">
        <v>28495</v>
      </c>
      <c r="SG42">
        <v>409015</v>
      </c>
      <c r="SH42">
        <v>20</v>
      </c>
      <c r="SI42" t="s">
        <v>567</v>
      </c>
      <c r="SJ42">
        <v>50</v>
      </c>
      <c r="SK42" s="1">
        <v>46110.829479166663</v>
      </c>
      <c r="SZ42">
        <v>7.2999999999999995E-2</v>
      </c>
      <c r="TA42">
        <v>0.97799999999999998</v>
      </c>
      <c r="TB42">
        <v>1.5800000000000002E-2</v>
      </c>
      <c r="TC42">
        <v>4.1999999999999997E-3</v>
      </c>
      <c r="TD42">
        <v>0.185</v>
      </c>
      <c r="TE42">
        <v>9.9000000000000005E-2</v>
      </c>
      <c r="TF42">
        <v>5.2999999999999999E-2</v>
      </c>
      <c r="TG42">
        <v>0.06</v>
      </c>
      <c r="TH42">
        <v>2.1999999999999999E-2</v>
      </c>
      <c r="TI42">
        <v>3.1E-2</v>
      </c>
      <c r="TJ42">
        <v>8.0000000000000002E-3</v>
      </c>
      <c r="TK42">
        <v>4.3194400000000002</v>
      </c>
      <c r="TL42">
        <v>5.0000000000000001E-3</v>
      </c>
      <c r="TM42">
        <v>2.9499999999999998E-2</v>
      </c>
      <c r="TN42">
        <v>1.6000000000000001E-3</v>
      </c>
      <c r="TO42">
        <v>2.6599999999999999E-2</v>
      </c>
      <c r="TP42">
        <v>7.1999999999999998E-3</v>
      </c>
      <c r="TQ42">
        <v>7.1999999999999998E-3</v>
      </c>
      <c r="TR42">
        <v>2.9999999999999997E-4</v>
      </c>
      <c r="TS42" t="s">
        <v>578</v>
      </c>
      <c r="TU42">
        <v>0.1401</v>
      </c>
      <c r="TV42">
        <v>4.4999999999999997E-3</v>
      </c>
      <c r="UD42">
        <v>0.26</v>
      </c>
      <c r="UE42">
        <v>0.29349999999999998</v>
      </c>
      <c r="UF42">
        <v>3.69</v>
      </c>
      <c r="UH42">
        <v>2.2000000000000001E-4</v>
      </c>
      <c r="UJ42">
        <v>0.2707</v>
      </c>
      <c r="UK42">
        <v>0.16</v>
      </c>
      <c r="UL42">
        <v>0.21</v>
      </c>
      <c r="UM42">
        <v>6.1100000000000002E-2</v>
      </c>
      <c r="UN42">
        <v>0.23400000000000001</v>
      </c>
      <c r="UO42">
        <v>3.0413000000000001</v>
      </c>
      <c r="UP42">
        <v>1.65</v>
      </c>
      <c r="UQ42">
        <v>0.61</v>
      </c>
      <c r="UR42" s="1">
        <v>46086.322222222225</v>
      </c>
    </row>
    <row r="43" spans="1:564" x14ac:dyDescent="0.35">
      <c r="A43">
        <v>28496</v>
      </c>
      <c r="B43">
        <v>18524</v>
      </c>
      <c r="C43">
        <v>850</v>
      </c>
      <c r="D43">
        <v>26135</v>
      </c>
      <c r="G43" t="s">
        <v>602</v>
      </c>
      <c r="H43">
        <v>500000</v>
      </c>
      <c r="J43">
        <v>49</v>
      </c>
      <c r="K43">
        <v>375</v>
      </c>
      <c r="L43" t="s">
        <v>579</v>
      </c>
      <c r="M43">
        <v>61</v>
      </c>
      <c r="N43">
        <v>307</v>
      </c>
      <c r="O43" t="s">
        <v>579</v>
      </c>
      <c r="P43">
        <v>1</v>
      </c>
      <c r="S43" s="1">
        <v>46110.643368055556</v>
      </c>
      <c r="U43">
        <v>76</v>
      </c>
      <c r="W43">
        <v>18</v>
      </c>
      <c r="X43">
        <v>495910</v>
      </c>
      <c r="Y43" s="1">
        <v>46110.717372685183</v>
      </c>
      <c r="AB43">
        <v>92612</v>
      </c>
      <c r="AC43">
        <v>308</v>
      </c>
      <c r="AD43">
        <v>1116</v>
      </c>
      <c r="AE43">
        <v>127980</v>
      </c>
      <c r="AF43">
        <v>0.05</v>
      </c>
      <c r="AG43">
        <v>720</v>
      </c>
      <c r="AH43">
        <v>2895</v>
      </c>
      <c r="AI43">
        <v>0.05</v>
      </c>
      <c r="AJ43">
        <v>743</v>
      </c>
      <c r="AK43">
        <v>2915</v>
      </c>
      <c r="AL43">
        <v>11</v>
      </c>
      <c r="AM43" t="s">
        <v>654</v>
      </c>
      <c r="AO43" s="1">
        <v>46110.717476851853</v>
      </c>
      <c r="AP43">
        <v>2</v>
      </c>
      <c r="AS43" s="1">
        <v>46110.716539351852</v>
      </c>
      <c r="AT43" s="1">
        <v>46110.823923611111</v>
      </c>
      <c r="AU43">
        <v>24</v>
      </c>
      <c r="AV43">
        <v>145</v>
      </c>
      <c r="AY43">
        <v>489816</v>
      </c>
      <c r="AZ43">
        <v>479258</v>
      </c>
      <c r="BA43">
        <v>2340</v>
      </c>
      <c r="BB43">
        <v>2952</v>
      </c>
      <c r="BC43">
        <v>2874</v>
      </c>
      <c r="BD43">
        <v>0</v>
      </c>
      <c r="BG43" s="1">
        <v>46110.824756944443</v>
      </c>
      <c r="BH43" s="1">
        <v>46110.832442129627</v>
      </c>
      <c r="BI43" s="1">
        <v>46110.878182870372</v>
      </c>
      <c r="BJ43" s="1">
        <v>46110.925034722219</v>
      </c>
      <c r="BK43">
        <v>1.1000000000000001</v>
      </c>
      <c r="BL43">
        <v>7</v>
      </c>
      <c r="BM43">
        <v>4124</v>
      </c>
      <c r="BS43" t="s">
        <v>655</v>
      </c>
      <c r="BT43" s="1">
        <v>46110.840775462966</v>
      </c>
      <c r="BU43" s="1">
        <v>46110.891469907408</v>
      </c>
      <c r="BV43" t="b">
        <v>0</v>
      </c>
      <c r="BW43">
        <v>7</v>
      </c>
      <c r="BX43">
        <v>3</v>
      </c>
      <c r="BY43" t="b">
        <v>0</v>
      </c>
      <c r="CC43">
        <v>1.1000000000000001</v>
      </c>
      <c r="CD43">
        <v>0.9</v>
      </c>
      <c r="CE43" s="1">
        <v>46110.587326388886</v>
      </c>
      <c r="CF43" s="1">
        <v>46110.587326388886</v>
      </c>
      <c r="CG43" t="b">
        <v>0</v>
      </c>
      <c r="CH43" t="b">
        <v>0</v>
      </c>
      <c r="CI43" t="b">
        <v>0</v>
      </c>
      <c r="CJ43" t="b">
        <v>0</v>
      </c>
      <c r="CK43" t="b">
        <v>0</v>
      </c>
      <c r="CL43" t="b">
        <v>0</v>
      </c>
      <c r="CM43" t="b">
        <v>0</v>
      </c>
      <c r="CN43" t="b">
        <v>0</v>
      </c>
      <c r="CO43">
        <v>2</v>
      </c>
      <c r="CP43">
        <v>6</v>
      </c>
      <c r="CQ43">
        <v>1</v>
      </c>
      <c r="CR43">
        <v>2</v>
      </c>
      <c r="CS43">
        <v>2831</v>
      </c>
      <c r="CT43">
        <v>2841</v>
      </c>
      <c r="CU43">
        <v>2830</v>
      </c>
      <c r="CV43">
        <v>4.6100000000000003</v>
      </c>
      <c r="CW43">
        <v>4.4400000000000004</v>
      </c>
      <c r="CX43">
        <v>7.16</v>
      </c>
      <c r="CY43">
        <v>7.3</v>
      </c>
      <c r="CZ43">
        <v>5.31</v>
      </c>
      <c r="DA43">
        <v>5.62</v>
      </c>
      <c r="DB43">
        <v>7.65</v>
      </c>
      <c r="DC43">
        <v>7.6</v>
      </c>
      <c r="DD43">
        <v>4460</v>
      </c>
      <c r="DE43">
        <v>4451</v>
      </c>
      <c r="DF43">
        <v>417</v>
      </c>
      <c r="DG43">
        <v>416</v>
      </c>
      <c r="DH43">
        <v>4460</v>
      </c>
      <c r="DI43">
        <v>4458</v>
      </c>
      <c r="DJ43">
        <v>410</v>
      </c>
      <c r="DK43">
        <v>410</v>
      </c>
      <c r="EB43" s="1">
        <v>46110.904999999999</v>
      </c>
      <c r="EE43">
        <v>122</v>
      </c>
      <c r="EF43">
        <v>132</v>
      </c>
      <c r="EG43" s="1">
        <v>46110.925034722219</v>
      </c>
      <c r="EJ43" s="1">
        <v>46111.347905092596</v>
      </c>
      <c r="EK43">
        <v>0</v>
      </c>
      <c r="EL43">
        <v>740</v>
      </c>
      <c r="EM43">
        <v>32</v>
      </c>
      <c r="EN43">
        <v>0.04</v>
      </c>
      <c r="EO43">
        <v>895</v>
      </c>
      <c r="EP43">
        <v>2946</v>
      </c>
      <c r="EQ43">
        <v>8.84</v>
      </c>
      <c r="ER43">
        <v>4</v>
      </c>
      <c r="ES43">
        <v>2952</v>
      </c>
      <c r="ET43">
        <v>0</v>
      </c>
      <c r="EU43">
        <v>0</v>
      </c>
      <c r="EV43">
        <v>2901</v>
      </c>
      <c r="EW43">
        <v>0</v>
      </c>
      <c r="EX43">
        <v>0</v>
      </c>
      <c r="EY43">
        <v>2892</v>
      </c>
      <c r="EZ43">
        <v>0</v>
      </c>
      <c r="FA43">
        <v>0</v>
      </c>
      <c r="FB43">
        <v>2910</v>
      </c>
      <c r="FC43">
        <v>6.5</v>
      </c>
      <c r="FJ43" t="s">
        <v>656</v>
      </c>
      <c r="FK43">
        <v>97</v>
      </c>
      <c r="FL43" s="1">
        <v>46111.347685185188</v>
      </c>
      <c r="FM43">
        <v>88</v>
      </c>
      <c r="FN43">
        <v>7604</v>
      </c>
      <c r="FO43">
        <v>7604</v>
      </c>
      <c r="FP43">
        <v>88</v>
      </c>
      <c r="FQ43">
        <v>7604</v>
      </c>
      <c r="FR43">
        <v>7604</v>
      </c>
      <c r="FS43" t="s">
        <v>605</v>
      </c>
      <c r="FT43" t="s">
        <v>580</v>
      </c>
      <c r="FV43" t="s">
        <v>573</v>
      </c>
      <c r="FW43" t="b">
        <v>0</v>
      </c>
      <c r="GA43" t="s">
        <v>657</v>
      </c>
      <c r="GB43">
        <v>18524</v>
      </c>
      <c r="GC43" s="1">
        <v>46110.840775462966</v>
      </c>
      <c r="GD43" t="s">
        <v>658</v>
      </c>
      <c r="GE43" t="s">
        <v>659</v>
      </c>
      <c r="GF43">
        <v>107</v>
      </c>
      <c r="GG43">
        <v>155</v>
      </c>
      <c r="GH43">
        <v>68</v>
      </c>
      <c r="GI43" t="s">
        <v>565</v>
      </c>
      <c r="GJ43">
        <v>247.96</v>
      </c>
      <c r="GK43">
        <v>2690</v>
      </c>
      <c r="GL43">
        <v>2117</v>
      </c>
      <c r="GM43" t="s">
        <v>660</v>
      </c>
      <c r="GN43" t="s">
        <v>661</v>
      </c>
      <c r="GO43">
        <v>2690</v>
      </c>
      <c r="GP43">
        <v>2117</v>
      </c>
      <c r="GQ43" t="s">
        <v>660</v>
      </c>
      <c r="GR43" t="s">
        <v>661</v>
      </c>
      <c r="GS43">
        <v>1266</v>
      </c>
      <c r="GT43">
        <v>1580</v>
      </c>
      <c r="GU43">
        <v>7</v>
      </c>
      <c r="GV43">
        <v>8.4</v>
      </c>
      <c r="GW43">
        <v>6.8</v>
      </c>
      <c r="GX43">
        <v>8.8000000000000007</v>
      </c>
      <c r="GY43">
        <v>5.8</v>
      </c>
      <c r="GZ43">
        <v>8</v>
      </c>
      <c r="HA43">
        <v>6.8</v>
      </c>
      <c r="HB43">
        <v>9.5</v>
      </c>
      <c r="HC43">
        <v>48.5</v>
      </c>
      <c r="HD43">
        <v>60.63</v>
      </c>
      <c r="HE43">
        <v>49</v>
      </c>
      <c r="HF43">
        <v>61</v>
      </c>
      <c r="HI43" s="2">
        <v>46110</v>
      </c>
      <c r="HJ43" t="s">
        <v>581</v>
      </c>
      <c r="HK43" t="s">
        <v>519</v>
      </c>
      <c r="HM43">
        <v>3</v>
      </c>
      <c r="HN43">
        <v>1</v>
      </c>
      <c r="HV43">
        <v>1</v>
      </c>
      <c r="HW43" t="b">
        <v>1</v>
      </c>
      <c r="HX43" s="1">
        <v>46110.903136574074</v>
      </c>
      <c r="HY43" t="b">
        <v>1</v>
      </c>
      <c r="HZ43" t="s">
        <v>611</v>
      </c>
      <c r="IA43" t="s">
        <v>662</v>
      </c>
      <c r="IB43">
        <v>2865</v>
      </c>
      <c r="IJ43">
        <v>2775</v>
      </c>
      <c r="IK43">
        <v>56</v>
      </c>
      <c r="IL43">
        <v>66</v>
      </c>
      <c r="IM43">
        <v>55</v>
      </c>
      <c r="IN43" t="s">
        <v>606</v>
      </c>
      <c r="IO43" t="s">
        <v>663</v>
      </c>
      <c r="IP43" t="s">
        <v>663</v>
      </c>
      <c r="IQ43" t="s">
        <v>577</v>
      </c>
      <c r="IR43">
        <v>6</v>
      </c>
      <c r="IT43" t="s">
        <v>664</v>
      </c>
      <c r="IU43" s="1">
        <v>46110.921446759261</v>
      </c>
      <c r="IV43">
        <v>28496</v>
      </c>
      <c r="IW43">
        <v>28041</v>
      </c>
      <c r="IX43">
        <v>28496</v>
      </c>
      <c r="IY43">
        <v>227.83080200000001</v>
      </c>
      <c r="IZ43">
        <v>18.097014999999999</v>
      </c>
      <c r="JA43">
        <v>8.1</v>
      </c>
      <c r="JB43">
        <v>0</v>
      </c>
      <c r="JC43">
        <v>1.229638</v>
      </c>
      <c r="JD43">
        <v>247.157455</v>
      </c>
      <c r="JE43">
        <v>255.25745499999999</v>
      </c>
      <c r="JF43">
        <v>89.255200000000002</v>
      </c>
      <c r="JG43">
        <v>8</v>
      </c>
      <c r="JH43">
        <v>0</v>
      </c>
      <c r="JI43">
        <v>122</v>
      </c>
      <c r="JJ43">
        <v>359557.94928</v>
      </c>
      <c r="JK43">
        <v>2824</v>
      </c>
      <c r="JL43">
        <v>49.2</v>
      </c>
      <c r="JM43">
        <v>9.125</v>
      </c>
      <c r="JN43">
        <v>122</v>
      </c>
      <c r="JO43">
        <v>179.77897400000001</v>
      </c>
      <c r="JP43">
        <v>0.93772800000000001</v>
      </c>
      <c r="JQ43">
        <v>7.7666550000000001</v>
      </c>
      <c r="JR43">
        <v>0</v>
      </c>
      <c r="JS43">
        <v>15533.31084</v>
      </c>
      <c r="JT43">
        <v>2</v>
      </c>
      <c r="JU43">
        <v>0</v>
      </c>
      <c r="JV43">
        <v>132</v>
      </c>
      <c r="JW43">
        <v>96103.656075000006</v>
      </c>
      <c r="JX43">
        <v>614</v>
      </c>
      <c r="JY43">
        <v>60.9</v>
      </c>
      <c r="JZ43">
        <v>9.0625</v>
      </c>
      <c r="KA43">
        <v>132</v>
      </c>
      <c r="KB43">
        <v>48.051828</v>
      </c>
      <c r="KC43">
        <v>0.29191</v>
      </c>
      <c r="KD43">
        <v>10.330360000000001</v>
      </c>
      <c r="KE43">
        <v>0</v>
      </c>
      <c r="KF43">
        <v>20660.720850000002</v>
      </c>
      <c r="KG43">
        <v>1.1000000000000001</v>
      </c>
      <c r="KH43">
        <v>7</v>
      </c>
      <c r="KI43">
        <v>0</v>
      </c>
      <c r="KJ43">
        <v>7604</v>
      </c>
      <c r="KK43">
        <v>0.28360000000000002</v>
      </c>
      <c r="KL43">
        <v>28496</v>
      </c>
      <c r="KM43">
        <v>173060</v>
      </c>
      <c r="KN43">
        <v>43740</v>
      </c>
      <c r="KP43">
        <v>199180</v>
      </c>
      <c r="KW43">
        <v>45880</v>
      </c>
      <c r="KX43">
        <v>29160</v>
      </c>
      <c r="LV43">
        <v>40120</v>
      </c>
      <c r="MD43">
        <v>46920</v>
      </c>
      <c r="MP43">
        <v>173998</v>
      </c>
      <c r="MQ43">
        <v>46399</v>
      </c>
      <c r="MS43">
        <v>168309</v>
      </c>
      <c r="MZ43">
        <v>46399</v>
      </c>
      <c r="NP43">
        <v>28999</v>
      </c>
      <c r="NY43">
        <v>40599</v>
      </c>
      <c r="OG43">
        <v>46399</v>
      </c>
      <c r="OT43">
        <v>4027</v>
      </c>
      <c r="PA43">
        <v>634</v>
      </c>
      <c r="PB43">
        <v>4002</v>
      </c>
      <c r="PC43">
        <v>406970</v>
      </c>
      <c r="PD43">
        <v>42192</v>
      </c>
      <c r="PE43">
        <v>9321</v>
      </c>
      <c r="PG43">
        <v>5</v>
      </c>
      <c r="PJ43">
        <v>11600</v>
      </c>
      <c r="PM43">
        <v>15279</v>
      </c>
      <c r="PV43">
        <v>1495</v>
      </c>
      <c r="PW43">
        <v>5584</v>
      </c>
      <c r="PX43">
        <v>950</v>
      </c>
      <c r="QA43">
        <v>2896</v>
      </c>
      <c r="QD43">
        <v>200</v>
      </c>
      <c r="QE43">
        <v>949</v>
      </c>
      <c r="QG43">
        <v>549</v>
      </c>
      <c r="QI43">
        <v>275</v>
      </c>
      <c r="QK43">
        <v>7</v>
      </c>
      <c r="QM43">
        <v>11</v>
      </c>
      <c r="QN43">
        <v>215</v>
      </c>
      <c r="QS43">
        <v>650</v>
      </c>
      <c r="RL43">
        <v>8</v>
      </c>
      <c r="RN43">
        <v>4</v>
      </c>
      <c r="RO43">
        <v>1</v>
      </c>
      <c r="RP43">
        <v>1</v>
      </c>
      <c r="SD43">
        <v>6</v>
      </c>
      <c r="SE43" s="1">
        <v>46086.322222222225</v>
      </c>
      <c r="SF43">
        <v>28496</v>
      </c>
      <c r="SG43">
        <v>409039</v>
      </c>
      <c r="SH43">
        <v>20</v>
      </c>
      <c r="SI43" t="s">
        <v>567</v>
      </c>
      <c r="SJ43">
        <v>50</v>
      </c>
      <c r="SK43" s="1">
        <v>46111.012106481481</v>
      </c>
      <c r="SZ43">
        <v>7.2999999999999995E-2</v>
      </c>
      <c r="TA43">
        <v>0.92700000000000005</v>
      </c>
      <c r="TB43">
        <v>1.5299999999999999E-2</v>
      </c>
      <c r="TC43">
        <v>3.0999999999999999E-3</v>
      </c>
      <c r="TD43">
        <v>0.16600000000000001</v>
      </c>
      <c r="TE43">
        <v>0.10299999999999999</v>
      </c>
      <c r="TF43">
        <v>4.9000000000000002E-2</v>
      </c>
      <c r="TG43">
        <v>5.8000000000000003E-2</v>
      </c>
      <c r="TH43">
        <v>2.5999999999999999E-2</v>
      </c>
      <c r="TI43">
        <v>2.5000000000000001E-2</v>
      </c>
      <c r="TJ43">
        <v>8.0000000000000002E-3</v>
      </c>
      <c r="TK43">
        <v>3.0602399999999998</v>
      </c>
      <c r="TL43">
        <v>4.0000000000000001E-3</v>
      </c>
      <c r="TM43">
        <v>2.6800000000000001E-2</v>
      </c>
      <c r="TN43">
        <v>1.9E-3</v>
      </c>
      <c r="TO43">
        <v>2.5399999999999999E-2</v>
      </c>
      <c r="TP43">
        <v>4.7999999999999996E-3</v>
      </c>
      <c r="TQ43">
        <v>8.3000000000000001E-3</v>
      </c>
      <c r="TR43">
        <v>2.9999999999999997E-4</v>
      </c>
      <c r="TS43" t="s">
        <v>578</v>
      </c>
      <c r="TU43">
        <v>0.13750000000000001</v>
      </c>
      <c r="TV43">
        <v>4.1999999999999997E-3</v>
      </c>
      <c r="UD43">
        <v>0.25</v>
      </c>
      <c r="UE43">
        <v>0.28210000000000002</v>
      </c>
      <c r="UF43">
        <v>3.06</v>
      </c>
      <c r="UH43">
        <v>2.1000000000000001E-4</v>
      </c>
      <c r="UJ43">
        <v>0.27150000000000002</v>
      </c>
      <c r="UK43">
        <v>0.16</v>
      </c>
      <c r="UL43">
        <v>0.21</v>
      </c>
      <c r="UM43">
        <v>5.62E-2</v>
      </c>
      <c r="UN43">
        <v>0.23599999999999999</v>
      </c>
      <c r="UO43">
        <v>3.0684</v>
      </c>
      <c r="UP43">
        <v>1.78</v>
      </c>
      <c r="UQ43">
        <v>0.56000000000000005</v>
      </c>
      <c r="UR43" s="1">
        <v>46086.322222222225</v>
      </c>
    </row>
    <row r="44" spans="1:564" x14ac:dyDescent="0.35">
      <c r="A44">
        <v>28497</v>
      </c>
      <c r="B44">
        <v>18525</v>
      </c>
      <c r="C44">
        <v>850</v>
      </c>
      <c r="D44">
        <v>26135</v>
      </c>
      <c r="G44" t="s">
        <v>602</v>
      </c>
      <c r="H44">
        <v>500000</v>
      </c>
      <c r="J44">
        <v>49</v>
      </c>
      <c r="K44">
        <v>375</v>
      </c>
      <c r="L44" t="s">
        <v>579</v>
      </c>
      <c r="M44">
        <v>61</v>
      </c>
      <c r="N44">
        <v>307</v>
      </c>
      <c r="O44" t="s">
        <v>579</v>
      </c>
      <c r="P44">
        <v>3</v>
      </c>
      <c r="S44" s="1">
        <v>46110.709236111114</v>
      </c>
      <c r="U44">
        <v>68</v>
      </c>
      <c r="W44">
        <v>26</v>
      </c>
      <c r="X44">
        <v>482448</v>
      </c>
      <c r="Y44" s="1">
        <v>46110.775127314817</v>
      </c>
      <c r="AB44">
        <v>81480</v>
      </c>
      <c r="AC44">
        <v>309</v>
      </c>
      <c r="AD44">
        <v>1117</v>
      </c>
      <c r="AE44">
        <v>136178</v>
      </c>
      <c r="AF44">
        <v>0.03</v>
      </c>
      <c r="AG44">
        <v>1104</v>
      </c>
      <c r="AH44">
        <v>3045</v>
      </c>
      <c r="AI44">
        <v>0.03</v>
      </c>
      <c r="AJ44">
        <v>1121</v>
      </c>
      <c r="AK44">
        <v>3069</v>
      </c>
      <c r="AL44">
        <v>18</v>
      </c>
      <c r="AM44" t="s">
        <v>665</v>
      </c>
      <c r="AO44" s="1">
        <v>46111.040312500001</v>
      </c>
      <c r="AP44">
        <v>1</v>
      </c>
      <c r="AS44" s="1">
        <v>46110.800370370373</v>
      </c>
      <c r="AT44" s="1">
        <v>46111.040162037039</v>
      </c>
      <c r="AU44">
        <v>52</v>
      </c>
      <c r="AV44">
        <v>314</v>
      </c>
      <c r="AY44">
        <v>492147</v>
      </c>
      <c r="AZ44">
        <v>482448</v>
      </c>
      <c r="BA44">
        <v>8010</v>
      </c>
      <c r="BB44">
        <v>2935</v>
      </c>
      <c r="BC44">
        <v>2888</v>
      </c>
      <c r="BD44">
        <v>0</v>
      </c>
      <c r="BG44" s="1">
        <v>46111.040451388886</v>
      </c>
      <c r="BH44" s="1">
        <v>46111.04824074074</v>
      </c>
      <c r="BI44" s="1">
        <v>46111.053518518522</v>
      </c>
      <c r="BJ44" s="1">
        <v>46111.125138888892</v>
      </c>
      <c r="BK44">
        <v>1.1000000000000001</v>
      </c>
      <c r="BM44">
        <v>4125</v>
      </c>
      <c r="BT44" s="1">
        <v>46111.051712962966</v>
      </c>
      <c r="BU44" s="1">
        <v>46111.086435185185</v>
      </c>
      <c r="BV44" t="b">
        <v>0</v>
      </c>
      <c r="BW44">
        <v>7</v>
      </c>
      <c r="BX44">
        <v>1</v>
      </c>
      <c r="BY44" t="b">
        <v>0</v>
      </c>
      <c r="CC44">
        <v>0.9</v>
      </c>
      <c r="CD44">
        <v>0.9</v>
      </c>
      <c r="CE44" s="1">
        <v>46110.885914351849</v>
      </c>
      <c r="CF44" s="1">
        <v>46110.885914351849</v>
      </c>
      <c r="CG44" t="b">
        <v>0</v>
      </c>
      <c r="CH44" t="b">
        <v>0</v>
      </c>
      <c r="CI44" t="b">
        <v>0</v>
      </c>
      <c r="CJ44" t="b">
        <v>0</v>
      </c>
      <c r="CK44" t="b">
        <v>0</v>
      </c>
      <c r="CL44" t="b">
        <v>0</v>
      </c>
      <c r="CM44" t="b">
        <v>0</v>
      </c>
      <c r="CN44" t="b">
        <v>0</v>
      </c>
      <c r="CO44">
        <v>2</v>
      </c>
      <c r="CP44">
        <v>6</v>
      </c>
      <c r="CQ44">
        <v>1</v>
      </c>
      <c r="CR44">
        <v>2</v>
      </c>
      <c r="CS44">
        <v>2839</v>
      </c>
      <c r="CT44">
        <v>2850</v>
      </c>
      <c r="CU44">
        <v>2861</v>
      </c>
      <c r="CV44">
        <v>3.88</v>
      </c>
      <c r="CW44">
        <v>2.94</v>
      </c>
      <c r="CX44">
        <v>6.7</v>
      </c>
      <c r="CY44">
        <v>6.67</v>
      </c>
      <c r="CZ44">
        <v>4.84</v>
      </c>
      <c r="DA44">
        <v>4.7699999999999996</v>
      </c>
      <c r="DB44">
        <v>6.82</v>
      </c>
      <c r="DC44">
        <v>6.54</v>
      </c>
      <c r="DD44">
        <v>4425</v>
      </c>
      <c r="DE44">
        <v>4466</v>
      </c>
      <c r="DF44">
        <v>415</v>
      </c>
      <c r="DG44">
        <v>416</v>
      </c>
      <c r="DH44">
        <v>4447</v>
      </c>
      <c r="DI44">
        <v>4444</v>
      </c>
      <c r="DJ44">
        <v>415</v>
      </c>
      <c r="DK44">
        <v>417</v>
      </c>
      <c r="EB44" s="1">
        <v>46111.086817129632</v>
      </c>
      <c r="EC44">
        <v>120</v>
      </c>
      <c r="ED44">
        <v>120</v>
      </c>
      <c r="EG44" s="1">
        <v>46111.125138888892</v>
      </c>
      <c r="EJ44" s="1">
        <v>46111.351388888892</v>
      </c>
      <c r="EK44">
        <v>0.04</v>
      </c>
      <c r="EL44">
        <v>1037</v>
      </c>
      <c r="EM44">
        <v>3047</v>
      </c>
      <c r="EQ44">
        <v>4.3899999999999997</v>
      </c>
      <c r="ER44">
        <v>8</v>
      </c>
      <c r="ES44">
        <v>2935</v>
      </c>
      <c r="ET44">
        <v>0</v>
      </c>
      <c r="EU44">
        <v>0</v>
      </c>
      <c r="EV44">
        <v>2878</v>
      </c>
      <c r="EW44">
        <v>0</v>
      </c>
      <c r="EX44">
        <v>0</v>
      </c>
      <c r="EY44">
        <v>2874</v>
      </c>
      <c r="EZ44">
        <v>0</v>
      </c>
      <c r="FA44">
        <v>0</v>
      </c>
      <c r="FB44">
        <v>2872</v>
      </c>
      <c r="FC44">
        <v>8.6999999999999993</v>
      </c>
      <c r="FF44" t="b">
        <v>1</v>
      </c>
      <c r="FG44" t="b">
        <v>1</v>
      </c>
      <c r="FH44" t="s">
        <v>571</v>
      </c>
      <c r="FI44" t="s">
        <v>571</v>
      </c>
      <c r="FJ44" t="s">
        <v>711</v>
      </c>
      <c r="FK44">
        <v>114</v>
      </c>
      <c r="FL44" s="1">
        <v>46111.351168981484</v>
      </c>
      <c r="FM44">
        <v>88</v>
      </c>
      <c r="FN44">
        <v>7604</v>
      </c>
      <c r="FO44">
        <v>7604</v>
      </c>
      <c r="FP44">
        <v>88</v>
      </c>
      <c r="FQ44">
        <v>7604</v>
      </c>
      <c r="FR44">
        <v>7604</v>
      </c>
      <c r="FS44" t="s">
        <v>605</v>
      </c>
      <c r="FT44" t="s">
        <v>582</v>
      </c>
      <c r="FV44" t="s">
        <v>573</v>
      </c>
      <c r="FW44" t="b">
        <v>0</v>
      </c>
      <c r="GA44" t="s">
        <v>712</v>
      </c>
      <c r="GB44">
        <v>18525</v>
      </c>
      <c r="GC44" s="1">
        <v>46111.051712962966</v>
      </c>
      <c r="GD44" t="s">
        <v>658</v>
      </c>
      <c r="GE44" t="s">
        <v>659</v>
      </c>
      <c r="GF44">
        <v>95</v>
      </c>
      <c r="GG44">
        <v>345</v>
      </c>
      <c r="GH44">
        <v>103</v>
      </c>
      <c r="GI44" t="s">
        <v>574</v>
      </c>
      <c r="GJ44">
        <v>241.22</v>
      </c>
      <c r="GK44">
        <v>2690</v>
      </c>
      <c r="GL44">
        <v>2117</v>
      </c>
      <c r="GM44" t="s">
        <v>660</v>
      </c>
      <c r="GN44" t="s">
        <v>661</v>
      </c>
      <c r="GO44">
        <v>2690</v>
      </c>
      <c r="GP44">
        <v>2117</v>
      </c>
      <c r="GQ44" t="s">
        <v>660</v>
      </c>
      <c r="GR44" t="s">
        <v>661</v>
      </c>
      <c r="GS44">
        <v>1273</v>
      </c>
      <c r="GT44">
        <v>1578</v>
      </c>
      <c r="GU44">
        <v>6.8</v>
      </c>
      <c r="GV44">
        <v>8.9</v>
      </c>
      <c r="GW44">
        <v>7</v>
      </c>
      <c r="GX44">
        <v>9</v>
      </c>
      <c r="HC44">
        <v>48.5</v>
      </c>
      <c r="HD44">
        <v>60.63</v>
      </c>
      <c r="HE44">
        <v>49</v>
      </c>
      <c r="HF44">
        <v>61</v>
      </c>
      <c r="HI44" s="2">
        <v>46111</v>
      </c>
      <c r="HJ44" t="s">
        <v>581</v>
      </c>
      <c r="HK44" t="s">
        <v>519</v>
      </c>
      <c r="HM44">
        <v>1</v>
      </c>
      <c r="HN44">
        <v>2</v>
      </c>
      <c r="HV44">
        <v>1</v>
      </c>
      <c r="HW44" t="b">
        <v>0</v>
      </c>
      <c r="IB44">
        <v>2880</v>
      </c>
      <c r="IJ44">
        <v>2775</v>
      </c>
      <c r="IK44">
        <v>64</v>
      </c>
      <c r="IL44">
        <v>75</v>
      </c>
      <c r="IM44">
        <v>86</v>
      </c>
      <c r="IN44" t="s">
        <v>606</v>
      </c>
      <c r="IO44" t="s">
        <v>663</v>
      </c>
      <c r="IP44" t="s">
        <v>663</v>
      </c>
      <c r="IQ44" t="s">
        <v>577</v>
      </c>
      <c r="IR44">
        <v>10</v>
      </c>
      <c r="IT44" t="s">
        <v>689</v>
      </c>
      <c r="IU44" s="1">
        <v>46111.083541666667</v>
      </c>
      <c r="IV44">
        <v>28497</v>
      </c>
      <c r="IW44">
        <v>28497</v>
      </c>
      <c r="IX44">
        <v>28499</v>
      </c>
      <c r="IY44">
        <v>263.69461100000001</v>
      </c>
      <c r="IZ44">
        <v>16.999514999999999</v>
      </c>
      <c r="JA44">
        <v>1.1000000000000001</v>
      </c>
      <c r="JB44">
        <v>0</v>
      </c>
      <c r="JC44">
        <v>1.40347</v>
      </c>
      <c r="JD44">
        <v>282.09759600000001</v>
      </c>
      <c r="JE44">
        <v>283.19759599999998</v>
      </c>
      <c r="JF44">
        <v>93.113200000000006</v>
      </c>
      <c r="JG44">
        <v>5</v>
      </c>
      <c r="JH44">
        <v>120</v>
      </c>
      <c r="JI44">
        <v>0</v>
      </c>
      <c r="JJ44">
        <v>238139.13269999999</v>
      </c>
      <c r="JK44">
        <v>1878</v>
      </c>
      <c r="JL44">
        <v>49</v>
      </c>
      <c r="JM44">
        <v>9.125</v>
      </c>
      <c r="JN44">
        <v>120</v>
      </c>
      <c r="JO44">
        <v>119.06956599999999</v>
      </c>
      <c r="JP44">
        <v>0.63338899999999998</v>
      </c>
      <c r="JQ44">
        <v>7.6082789999999996</v>
      </c>
      <c r="JR44">
        <v>15216.558000000001</v>
      </c>
      <c r="JS44">
        <v>0</v>
      </c>
      <c r="JT44">
        <v>6</v>
      </c>
      <c r="JU44">
        <v>120</v>
      </c>
      <c r="JV44">
        <v>0</v>
      </c>
      <c r="JW44">
        <v>289250.0919</v>
      </c>
      <c r="JX44">
        <v>1848</v>
      </c>
      <c r="JY44">
        <v>60.9</v>
      </c>
      <c r="JZ44">
        <v>9.0625</v>
      </c>
      <c r="KA44">
        <v>120</v>
      </c>
      <c r="KB44">
        <v>144.625045</v>
      </c>
      <c r="KC44">
        <v>0.77008100000000002</v>
      </c>
      <c r="KD44">
        <v>9.3912359999999993</v>
      </c>
      <c r="KE44">
        <v>18782.4735</v>
      </c>
      <c r="KF44">
        <v>0</v>
      </c>
      <c r="KG44">
        <v>1.1000000000000001</v>
      </c>
      <c r="KH44">
        <v>0</v>
      </c>
      <c r="KI44">
        <v>0</v>
      </c>
      <c r="KJ44">
        <v>7604</v>
      </c>
      <c r="KK44">
        <v>0.28360000000000002</v>
      </c>
      <c r="KL44">
        <v>28497</v>
      </c>
      <c r="KM44">
        <v>168140</v>
      </c>
      <c r="KN44">
        <v>42780</v>
      </c>
      <c r="KP44">
        <v>189360</v>
      </c>
      <c r="KW44">
        <v>44340</v>
      </c>
      <c r="KX44">
        <v>28620</v>
      </c>
      <c r="LV44">
        <v>40800</v>
      </c>
      <c r="MD44">
        <v>42740</v>
      </c>
      <c r="MP44">
        <v>165371</v>
      </c>
      <c r="MQ44">
        <v>44099</v>
      </c>
      <c r="MS44">
        <v>175692</v>
      </c>
      <c r="MZ44">
        <v>44099</v>
      </c>
      <c r="NP44">
        <v>27561</v>
      </c>
      <c r="NY44">
        <v>38586</v>
      </c>
      <c r="OG44">
        <v>44099</v>
      </c>
      <c r="OT44">
        <v>4019</v>
      </c>
      <c r="PA44">
        <v>651</v>
      </c>
      <c r="PB44">
        <v>4000</v>
      </c>
      <c r="PC44">
        <v>405772</v>
      </c>
      <c r="PD44">
        <v>46529</v>
      </c>
      <c r="PE44">
        <v>8824</v>
      </c>
      <c r="PG44">
        <v>3</v>
      </c>
      <c r="PJ44">
        <v>8752</v>
      </c>
      <c r="PM44">
        <v>15662</v>
      </c>
      <c r="PS44">
        <v>500</v>
      </c>
      <c r="PW44">
        <v>5092</v>
      </c>
      <c r="PX44">
        <v>756</v>
      </c>
      <c r="QA44">
        <v>2498</v>
      </c>
      <c r="QD44">
        <v>400</v>
      </c>
      <c r="QE44">
        <v>949</v>
      </c>
      <c r="QG44">
        <v>560</v>
      </c>
      <c r="QK44">
        <v>12</v>
      </c>
      <c r="QM44">
        <v>12</v>
      </c>
      <c r="QN44">
        <v>215</v>
      </c>
      <c r="QS44">
        <v>572</v>
      </c>
      <c r="RL44">
        <v>9</v>
      </c>
      <c r="RM44">
        <v>1</v>
      </c>
      <c r="RN44">
        <v>3</v>
      </c>
      <c r="RO44">
        <v>1</v>
      </c>
      <c r="RP44">
        <v>1</v>
      </c>
      <c r="RQ44">
        <v>1</v>
      </c>
      <c r="RV44">
        <v>1</v>
      </c>
      <c r="SD44">
        <v>34</v>
      </c>
      <c r="SE44" s="1">
        <v>46086.322222222225</v>
      </c>
      <c r="SF44">
        <v>28497</v>
      </c>
      <c r="SG44">
        <v>409083</v>
      </c>
      <c r="SH44">
        <v>20</v>
      </c>
      <c r="SI44" t="s">
        <v>567</v>
      </c>
      <c r="SJ44">
        <v>50</v>
      </c>
      <c r="SK44" s="1">
        <v>46111.088425925926</v>
      </c>
      <c r="SZ44">
        <v>7.8E-2</v>
      </c>
      <c r="TA44">
        <v>0.94199999999999995</v>
      </c>
      <c r="TB44">
        <v>1.5900000000000001E-2</v>
      </c>
      <c r="TC44">
        <v>2.0999999999999999E-3</v>
      </c>
      <c r="TD44">
        <v>0.16800000000000001</v>
      </c>
      <c r="TE44">
        <v>0.115</v>
      </c>
      <c r="TF44">
        <v>6.7000000000000004E-2</v>
      </c>
      <c r="TG44">
        <v>6.7000000000000004E-2</v>
      </c>
      <c r="TH44">
        <v>4.1000000000000002E-2</v>
      </c>
      <c r="TI44">
        <v>2.8000000000000001E-2</v>
      </c>
      <c r="TJ44">
        <v>8.9999999999999993E-3</v>
      </c>
      <c r="TK44">
        <v>3.21591</v>
      </c>
      <c r="TL44">
        <v>5.0000000000000001E-3</v>
      </c>
      <c r="TM44">
        <v>2.7699999999999999E-2</v>
      </c>
      <c r="TN44">
        <v>2.0999999999999999E-3</v>
      </c>
      <c r="TO44">
        <v>2.5399999999999999E-2</v>
      </c>
      <c r="TP44">
        <v>6.0000000000000001E-3</v>
      </c>
      <c r="TQ44">
        <v>8.8000000000000005E-3</v>
      </c>
      <c r="TR44">
        <v>2.9999999999999997E-4</v>
      </c>
      <c r="TS44">
        <v>3.0999999999999999E-3</v>
      </c>
      <c r="TU44">
        <v>0.14599999999999999</v>
      </c>
      <c r="TV44">
        <v>4.7000000000000002E-3</v>
      </c>
      <c r="UD44">
        <v>0.27</v>
      </c>
      <c r="UE44">
        <v>0.29809999999999998</v>
      </c>
      <c r="UF44">
        <v>2.89</v>
      </c>
      <c r="UH44">
        <v>2.5000000000000001E-4</v>
      </c>
      <c r="UJ44">
        <v>0.32690000000000002</v>
      </c>
      <c r="UK44">
        <v>0.19</v>
      </c>
      <c r="UL44">
        <v>0.25</v>
      </c>
      <c r="UM44">
        <v>5.8099999999999999E-2</v>
      </c>
      <c r="UN44">
        <v>0.28999999999999998</v>
      </c>
      <c r="UO44">
        <v>3.3492999999999999</v>
      </c>
      <c r="UP44">
        <v>1.72</v>
      </c>
      <c r="UQ44">
        <v>0.57999999999999996</v>
      </c>
      <c r="UR44" s="1">
        <v>46086.322222222225</v>
      </c>
    </row>
    <row r="45" spans="1:564" x14ac:dyDescent="0.35">
      <c r="A45">
        <v>28498</v>
      </c>
      <c r="B45">
        <v>18526</v>
      </c>
      <c r="C45">
        <v>850</v>
      </c>
      <c r="D45">
        <v>26135</v>
      </c>
      <c r="G45" t="s">
        <v>602</v>
      </c>
      <c r="H45">
        <v>500000</v>
      </c>
      <c r="J45">
        <v>49</v>
      </c>
      <c r="K45">
        <v>375</v>
      </c>
      <c r="L45" t="s">
        <v>579</v>
      </c>
      <c r="M45">
        <v>61</v>
      </c>
      <c r="N45">
        <v>307</v>
      </c>
      <c r="O45" t="s">
        <v>579</v>
      </c>
      <c r="P45">
        <v>2</v>
      </c>
      <c r="S45" s="1">
        <v>46110.775127314817</v>
      </c>
      <c r="U45">
        <v>62</v>
      </c>
      <c r="W45">
        <v>16</v>
      </c>
      <c r="X45">
        <v>495910</v>
      </c>
      <c r="Y45" s="1">
        <v>46110.830393518518</v>
      </c>
      <c r="AB45">
        <v>81259</v>
      </c>
      <c r="AC45">
        <v>310</v>
      </c>
      <c r="AD45">
        <v>1118</v>
      </c>
      <c r="AE45">
        <v>162170</v>
      </c>
      <c r="AF45">
        <v>0.06</v>
      </c>
      <c r="AG45">
        <v>575</v>
      </c>
      <c r="AH45">
        <v>2877</v>
      </c>
      <c r="AI45">
        <v>0.04</v>
      </c>
      <c r="AJ45">
        <v>926</v>
      </c>
      <c r="AK45">
        <v>2944</v>
      </c>
      <c r="AL45">
        <v>9</v>
      </c>
      <c r="AM45" t="s">
        <v>604</v>
      </c>
      <c r="AO45" s="1">
        <v>46110.831550925926</v>
      </c>
      <c r="AP45">
        <v>2</v>
      </c>
      <c r="AS45" s="1">
        <v>46110.836423611108</v>
      </c>
      <c r="AT45" s="1">
        <v>46111.067175925928</v>
      </c>
      <c r="AU45">
        <v>43</v>
      </c>
      <c r="AV45">
        <v>318</v>
      </c>
      <c r="AY45">
        <v>502140</v>
      </c>
      <c r="AZ45">
        <v>491500</v>
      </c>
      <c r="BA45">
        <v>4060</v>
      </c>
      <c r="BB45">
        <v>2964</v>
      </c>
      <c r="BC45">
        <v>2872</v>
      </c>
      <c r="BD45">
        <v>0</v>
      </c>
      <c r="BG45" s="1">
        <v>46111.188599537039</v>
      </c>
      <c r="BH45" s="1">
        <v>46111.078356481485</v>
      </c>
      <c r="BI45" s="1">
        <v>46111.125196759262</v>
      </c>
      <c r="BJ45" s="1">
        <v>46111.166956018518</v>
      </c>
      <c r="BK45">
        <v>1.1000000000000001</v>
      </c>
      <c r="BM45">
        <v>4125</v>
      </c>
      <c r="BS45" t="s">
        <v>686</v>
      </c>
      <c r="BT45" s="1">
        <v>46111.088078703702</v>
      </c>
      <c r="BU45" s="1">
        <v>46111.129745370374</v>
      </c>
      <c r="BV45" t="b">
        <v>0</v>
      </c>
      <c r="BW45">
        <v>7</v>
      </c>
      <c r="BX45">
        <v>1</v>
      </c>
      <c r="BY45" t="b">
        <v>0</v>
      </c>
      <c r="CC45">
        <v>0.9</v>
      </c>
      <c r="CD45">
        <v>0.9</v>
      </c>
      <c r="CE45" s="1">
        <v>46111.885740740741</v>
      </c>
      <c r="CF45" s="1">
        <v>46111.885740740741</v>
      </c>
      <c r="CG45" t="b">
        <v>0</v>
      </c>
      <c r="CH45" t="b">
        <v>0</v>
      </c>
      <c r="CI45" t="b">
        <v>0</v>
      </c>
      <c r="CJ45" t="b">
        <v>0</v>
      </c>
      <c r="CK45" t="b">
        <v>0</v>
      </c>
      <c r="CL45" t="b">
        <v>0</v>
      </c>
      <c r="CM45" t="b">
        <v>0</v>
      </c>
      <c r="CN45" t="b">
        <v>0</v>
      </c>
      <c r="CO45">
        <v>2</v>
      </c>
      <c r="CP45">
        <v>6</v>
      </c>
      <c r="CQ45">
        <v>1</v>
      </c>
      <c r="CR45">
        <v>2</v>
      </c>
      <c r="CS45">
        <v>2821</v>
      </c>
      <c r="CT45">
        <v>2817</v>
      </c>
      <c r="CU45">
        <v>2821</v>
      </c>
      <c r="CV45">
        <v>3.8</v>
      </c>
      <c r="CW45">
        <v>3.32</v>
      </c>
      <c r="CX45">
        <v>7.02</v>
      </c>
      <c r="CY45">
        <v>7.81</v>
      </c>
      <c r="CZ45">
        <v>4.83</v>
      </c>
      <c r="DA45">
        <v>5.27</v>
      </c>
      <c r="DB45">
        <v>7.73</v>
      </c>
      <c r="DC45">
        <v>7.3</v>
      </c>
      <c r="DD45">
        <v>4451</v>
      </c>
      <c r="DE45">
        <v>4442</v>
      </c>
      <c r="DF45">
        <v>415</v>
      </c>
      <c r="DG45">
        <v>417</v>
      </c>
      <c r="DH45">
        <v>4458</v>
      </c>
      <c r="DI45">
        <v>4459</v>
      </c>
      <c r="DJ45">
        <v>415</v>
      </c>
      <c r="DK45">
        <v>415</v>
      </c>
      <c r="EB45" s="1">
        <v>46111.131122685183</v>
      </c>
      <c r="EE45">
        <v>176</v>
      </c>
      <c r="EG45" s="1">
        <v>46111.166956018518</v>
      </c>
      <c r="EJ45" s="1">
        <v>46111.352268518516</v>
      </c>
      <c r="EK45">
        <v>0.04</v>
      </c>
      <c r="EL45">
        <v>969</v>
      </c>
      <c r="EM45">
        <v>3025</v>
      </c>
      <c r="EQ45">
        <v>7.11</v>
      </c>
      <c r="ER45">
        <v>5</v>
      </c>
      <c r="ES45">
        <v>2964</v>
      </c>
      <c r="ET45">
        <v>0</v>
      </c>
      <c r="EU45">
        <v>0</v>
      </c>
      <c r="EV45">
        <v>2854</v>
      </c>
      <c r="EW45">
        <v>0</v>
      </c>
      <c r="EX45">
        <v>0</v>
      </c>
      <c r="EY45">
        <v>2840</v>
      </c>
      <c r="EZ45">
        <v>0</v>
      </c>
      <c r="FA45">
        <v>0</v>
      </c>
      <c r="FB45">
        <v>2802</v>
      </c>
      <c r="FC45">
        <v>6.8</v>
      </c>
      <c r="FJ45" t="s">
        <v>687</v>
      </c>
      <c r="FK45">
        <v>97</v>
      </c>
      <c r="FL45" s="1">
        <v>46111.352037037039</v>
      </c>
      <c r="FM45">
        <v>88</v>
      </c>
      <c r="FN45">
        <v>7604</v>
      </c>
      <c r="FO45">
        <v>7604</v>
      </c>
      <c r="FP45">
        <v>88</v>
      </c>
      <c r="FQ45">
        <v>7604</v>
      </c>
      <c r="FR45">
        <v>7604</v>
      </c>
      <c r="FS45" t="s">
        <v>605</v>
      </c>
      <c r="FV45" t="s">
        <v>573</v>
      </c>
      <c r="FW45" t="b">
        <v>0</v>
      </c>
      <c r="GA45" t="s">
        <v>688</v>
      </c>
      <c r="GB45">
        <v>18526</v>
      </c>
      <c r="GC45" s="1">
        <v>46111.088078703702</v>
      </c>
      <c r="GD45" t="s">
        <v>658</v>
      </c>
      <c r="GE45" t="s">
        <v>659</v>
      </c>
      <c r="GF45">
        <v>79</v>
      </c>
      <c r="GG45">
        <v>332</v>
      </c>
      <c r="GH45">
        <v>60</v>
      </c>
      <c r="GI45" t="s">
        <v>565</v>
      </c>
      <c r="GJ45">
        <v>247.96</v>
      </c>
      <c r="GK45">
        <v>2690</v>
      </c>
      <c r="GL45">
        <v>2117</v>
      </c>
      <c r="GM45" t="s">
        <v>660</v>
      </c>
      <c r="GN45" t="s">
        <v>661</v>
      </c>
      <c r="GO45">
        <v>2690</v>
      </c>
      <c r="GP45">
        <v>2117</v>
      </c>
      <c r="GQ45" t="s">
        <v>660</v>
      </c>
      <c r="GR45" t="s">
        <v>661</v>
      </c>
      <c r="HI45" s="2">
        <v>46111</v>
      </c>
      <c r="HJ45" t="s">
        <v>581</v>
      </c>
      <c r="HK45" t="s">
        <v>519</v>
      </c>
      <c r="HM45">
        <v>2</v>
      </c>
      <c r="HN45">
        <v>2</v>
      </c>
      <c r="HV45">
        <v>1</v>
      </c>
      <c r="HW45" t="b">
        <v>0</v>
      </c>
      <c r="IB45">
        <v>2865</v>
      </c>
      <c r="IJ45">
        <v>2775</v>
      </c>
      <c r="IK45">
        <v>46</v>
      </c>
      <c r="IL45">
        <v>42</v>
      </c>
      <c r="IM45">
        <v>46</v>
      </c>
      <c r="IN45" t="s">
        <v>606</v>
      </c>
      <c r="IO45" t="s">
        <v>663</v>
      </c>
      <c r="IP45" t="s">
        <v>663</v>
      </c>
      <c r="IQ45" t="s">
        <v>577</v>
      </c>
      <c r="IT45" t="s">
        <v>689</v>
      </c>
      <c r="IU45" s="1">
        <v>46111.150555555556</v>
      </c>
      <c r="IV45">
        <v>28498</v>
      </c>
      <c r="IW45">
        <v>28497</v>
      </c>
      <c r="IX45">
        <v>28499</v>
      </c>
      <c r="IY45">
        <v>239.75905499999999</v>
      </c>
      <c r="IZ45">
        <v>11.158809</v>
      </c>
      <c r="JA45">
        <v>1.1000000000000001</v>
      </c>
      <c r="JB45">
        <v>0</v>
      </c>
      <c r="JC45">
        <v>1.254588</v>
      </c>
      <c r="JD45">
        <v>252.17245199999999</v>
      </c>
      <c r="JE45">
        <v>253.27245199999999</v>
      </c>
      <c r="JF45">
        <v>94.664400000000001</v>
      </c>
      <c r="JG45">
        <v>2</v>
      </c>
      <c r="JH45">
        <v>0</v>
      </c>
      <c r="JI45">
        <v>176</v>
      </c>
      <c r="JJ45">
        <v>95103.487500000003</v>
      </c>
      <c r="JK45">
        <v>750</v>
      </c>
      <c r="JL45">
        <v>49</v>
      </c>
      <c r="JM45">
        <v>9.125</v>
      </c>
      <c r="JN45">
        <v>176</v>
      </c>
      <c r="JO45">
        <v>47.551743000000002</v>
      </c>
      <c r="JP45">
        <v>0.29355199999999998</v>
      </c>
      <c r="JQ45">
        <v>11.158809</v>
      </c>
      <c r="JR45">
        <v>0</v>
      </c>
      <c r="JS45">
        <v>22317.618399999999</v>
      </c>
      <c r="JT45">
        <v>8</v>
      </c>
      <c r="JU45">
        <v>0</v>
      </c>
      <c r="JV45">
        <v>0</v>
      </c>
      <c r="JW45">
        <v>384414.62430000002</v>
      </c>
      <c r="JX45">
        <v>2456</v>
      </c>
      <c r="JY45">
        <v>60.9</v>
      </c>
      <c r="JZ45">
        <v>9.0625</v>
      </c>
      <c r="KA45">
        <v>0</v>
      </c>
      <c r="KB45">
        <v>192.207312</v>
      </c>
      <c r="KC45">
        <v>0.961036</v>
      </c>
      <c r="KD45">
        <v>0</v>
      </c>
      <c r="KE45">
        <v>0</v>
      </c>
      <c r="KF45">
        <v>0</v>
      </c>
      <c r="KG45">
        <v>1.1000000000000001</v>
      </c>
      <c r="KH45">
        <v>0</v>
      </c>
      <c r="KI45">
        <v>0</v>
      </c>
      <c r="KJ45">
        <v>7604</v>
      </c>
      <c r="KK45">
        <v>0.28360000000000002</v>
      </c>
      <c r="KL45">
        <v>28498</v>
      </c>
      <c r="KM45">
        <v>164660</v>
      </c>
      <c r="KN45">
        <v>44860</v>
      </c>
      <c r="KP45">
        <v>187580</v>
      </c>
      <c r="KW45">
        <v>42180</v>
      </c>
      <c r="KX45">
        <v>25500</v>
      </c>
      <c r="LV45">
        <v>37440</v>
      </c>
      <c r="MD45">
        <v>45340</v>
      </c>
      <c r="MP45">
        <v>165371</v>
      </c>
      <c r="MQ45">
        <v>44099</v>
      </c>
      <c r="MS45">
        <v>128492</v>
      </c>
      <c r="MZ45">
        <v>44099</v>
      </c>
      <c r="NP45">
        <v>27561</v>
      </c>
      <c r="NY45">
        <v>38586</v>
      </c>
      <c r="OG45">
        <v>44099</v>
      </c>
      <c r="OT45">
        <v>2246</v>
      </c>
      <c r="PA45">
        <v>553</v>
      </c>
      <c r="PB45">
        <v>4214</v>
      </c>
      <c r="PC45">
        <v>377332</v>
      </c>
      <c r="PD45">
        <v>36014</v>
      </c>
      <c r="PE45">
        <v>7958</v>
      </c>
      <c r="PG45">
        <v>3</v>
      </c>
      <c r="PJ45">
        <v>7666</v>
      </c>
      <c r="PM45">
        <v>15391</v>
      </c>
      <c r="PS45">
        <v>500</v>
      </c>
      <c r="PW45">
        <v>4493</v>
      </c>
      <c r="PX45">
        <v>978</v>
      </c>
      <c r="QA45">
        <v>4084</v>
      </c>
      <c r="QD45">
        <v>499</v>
      </c>
      <c r="QE45">
        <v>949</v>
      </c>
      <c r="QG45">
        <v>549</v>
      </c>
      <c r="QI45">
        <v>254</v>
      </c>
      <c r="QK45">
        <v>8</v>
      </c>
      <c r="QM45">
        <v>9</v>
      </c>
      <c r="QN45">
        <v>225</v>
      </c>
      <c r="QS45">
        <v>794</v>
      </c>
      <c r="RL45">
        <v>9</v>
      </c>
      <c r="RN45">
        <v>3</v>
      </c>
      <c r="RO45">
        <v>1</v>
      </c>
      <c r="RP45">
        <v>1</v>
      </c>
      <c r="SD45">
        <v>5</v>
      </c>
      <c r="SE45" s="1">
        <v>46086.322222222225</v>
      </c>
      <c r="SF45">
        <v>28498</v>
      </c>
      <c r="SG45">
        <v>409101</v>
      </c>
      <c r="SH45">
        <v>20</v>
      </c>
      <c r="SI45" t="s">
        <v>567</v>
      </c>
      <c r="SJ45">
        <v>50</v>
      </c>
      <c r="SK45" s="1">
        <v>46111.111562500002</v>
      </c>
      <c r="SZ45">
        <v>7.2999999999999995E-2</v>
      </c>
      <c r="TA45">
        <v>0.94399999999999995</v>
      </c>
      <c r="TB45">
        <v>1.5900000000000001E-2</v>
      </c>
      <c r="TC45">
        <v>1.8E-3</v>
      </c>
      <c r="TD45">
        <v>0.158</v>
      </c>
      <c r="TE45">
        <v>0.10100000000000001</v>
      </c>
      <c r="TF45">
        <v>4.9000000000000002E-2</v>
      </c>
      <c r="TG45">
        <v>6.2E-2</v>
      </c>
      <c r="TH45">
        <v>3.1E-2</v>
      </c>
      <c r="TI45">
        <v>2.9000000000000001E-2</v>
      </c>
      <c r="TJ45">
        <v>7.0000000000000001E-3</v>
      </c>
      <c r="TK45">
        <v>3.60494</v>
      </c>
      <c r="TL45">
        <v>4.0000000000000001E-3</v>
      </c>
      <c r="TM45">
        <v>2.8299999999999999E-2</v>
      </c>
      <c r="TN45">
        <v>2.2000000000000001E-3</v>
      </c>
      <c r="TO45">
        <v>2.5100000000000001E-2</v>
      </c>
      <c r="TP45">
        <v>6.4000000000000003E-3</v>
      </c>
      <c r="TQ45">
        <v>8.0999999999999996E-3</v>
      </c>
      <c r="TR45">
        <v>2.9999999999999997E-4</v>
      </c>
      <c r="TS45" t="s">
        <v>578</v>
      </c>
      <c r="TU45">
        <v>0.1376</v>
      </c>
      <c r="TV45">
        <v>4.5999999999999999E-3</v>
      </c>
      <c r="UD45">
        <v>0.26</v>
      </c>
      <c r="UE45">
        <v>0.28389999999999999</v>
      </c>
      <c r="UF45">
        <v>3.1</v>
      </c>
      <c r="UH45">
        <v>2.4000000000000001E-4</v>
      </c>
      <c r="UJ45">
        <v>0.27829999999999999</v>
      </c>
      <c r="UK45">
        <v>0.16</v>
      </c>
      <c r="UL45">
        <v>0.21</v>
      </c>
      <c r="UM45">
        <v>5.74E-2</v>
      </c>
      <c r="UN45">
        <v>0.24299999999999999</v>
      </c>
      <c r="UO45">
        <v>3.0409999999999999</v>
      </c>
      <c r="UP45">
        <v>1.63</v>
      </c>
      <c r="UQ45">
        <v>0.61</v>
      </c>
      <c r="UR45" s="1">
        <v>46086.322222222225</v>
      </c>
    </row>
    <row r="46" spans="1:564" x14ac:dyDescent="0.35">
      <c r="A46">
        <v>28499</v>
      </c>
      <c r="B46">
        <v>18527</v>
      </c>
      <c r="C46">
        <v>850</v>
      </c>
      <c r="D46">
        <v>26135</v>
      </c>
      <c r="G46" t="s">
        <v>602</v>
      </c>
      <c r="H46">
        <v>500000</v>
      </c>
      <c r="L46" t="s">
        <v>716</v>
      </c>
      <c r="M46">
        <v>61</v>
      </c>
      <c r="N46">
        <v>307</v>
      </c>
      <c r="O46" t="s">
        <v>579</v>
      </c>
      <c r="P46">
        <v>4</v>
      </c>
      <c r="S46" s="1">
        <v>46110.830393518518</v>
      </c>
      <c r="U46">
        <v>88</v>
      </c>
      <c r="W46">
        <v>218</v>
      </c>
      <c r="X46">
        <v>495910</v>
      </c>
      <c r="Y46" s="1">
        <v>46111.043587962966</v>
      </c>
      <c r="AB46">
        <v>109058</v>
      </c>
      <c r="AC46">
        <v>311</v>
      </c>
      <c r="AD46">
        <v>1119</v>
      </c>
      <c r="AE46">
        <v>117372</v>
      </c>
      <c r="AF46">
        <v>7.0000000000000007E-2</v>
      </c>
      <c r="AG46">
        <v>448</v>
      </c>
      <c r="AH46">
        <v>2825</v>
      </c>
      <c r="AI46">
        <v>0.05</v>
      </c>
      <c r="AJ46">
        <v>641</v>
      </c>
      <c r="AK46">
        <v>2874</v>
      </c>
      <c r="AL46">
        <v>209</v>
      </c>
      <c r="AM46" t="s">
        <v>717</v>
      </c>
      <c r="AO46" s="1">
        <v>46111.050729166665</v>
      </c>
      <c r="AP46">
        <v>1</v>
      </c>
      <c r="AS46" s="1">
        <v>46111.050370370373</v>
      </c>
      <c r="AT46" s="1">
        <v>46111.122407407405</v>
      </c>
      <c r="AU46">
        <v>19</v>
      </c>
      <c r="AV46">
        <v>92</v>
      </c>
      <c r="AY46">
        <v>496500</v>
      </c>
      <c r="AZ46">
        <v>490980</v>
      </c>
      <c r="BA46">
        <v>7490</v>
      </c>
      <c r="BB46">
        <v>2922</v>
      </c>
      <c r="BC46">
        <v>2870</v>
      </c>
      <c r="BD46">
        <v>0</v>
      </c>
      <c r="BF46" t="s">
        <v>718</v>
      </c>
      <c r="BG46" s="1">
        <v>46111.188877314817</v>
      </c>
      <c r="BH46" s="1">
        <v>46111.129537037035</v>
      </c>
      <c r="BI46" s="1">
        <v>46111.166979166665</v>
      </c>
      <c r="BJ46" s="1">
        <v>46111.225335648145</v>
      </c>
      <c r="BK46">
        <v>1.1000000000000001</v>
      </c>
      <c r="BL46">
        <v>7</v>
      </c>
      <c r="BM46">
        <v>4125</v>
      </c>
      <c r="BT46" s="1">
        <v>46111.133009259262</v>
      </c>
      <c r="BU46" s="1">
        <v>46111.188564814816</v>
      </c>
      <c r="BV46" t="b">
        <v>0</v>
      </c>
      <c r="BX46">
        <v>1</v>
      </c>
      <c r="BY46" t="b">
        <v>0</v>
      </c>
      <c r="CD46">
        <v>0.9</v>
      </c>
      <c r="CF46" s="1">
        <v>46111.885995370372</v>
      </c>
      <c r="CG46" t="b">
        <v>0</v>
      </c>
      <c r="CH46" t="b">
        <v>0</v>
      </c>
      <c r="CI46" t="b">
        <v>0</v>
      </c>
      <c r="CJ46" t="b">
        <v>0</v>
      </c>
      <c r="CK46" t="b">
        <v>0</v>
      </c>
      <c r="CL46" t="b">
        <v>0</v>
      </c>
      <c r="CM46" t="b">
        <v>0</v>
      </c>
      <c r="CN46" t="b">
        <v>0</v>
      </c>
      <c r="CO46">
        <v>2</v>
      </c>
      <c r="CP46">
        <v>6</v>
      </c>
      <c r="CQ46">
        <v>1</v>
      </c>
      <c r="CR46">
        <v>2</v>
      </c>
      <c r="CS46">
        <v>2810</v>
      </c>
      <c r="CT46">
        <v>2807</v>
      </c>
      <c r="CU46">
        <v>2799</v>
      </c>
      <c r="CZ46">
        <v>5.03</v>
      </c>
      <c r="DA46">
        <v>4.62</v>
      </c>
      <c r="DB46">
        <v>7.56</v>
      </c>
      <c r="DC46">
        <v>7.34</v>
      </c>
      <c r="DH46">
        <v>4459</v>
      </c>
      <c r="DI46">
        <v>4457</v>
      </c>
      <c r="DJ46">
        <v>415</v>
      </c>
      <c r="DK46">
        <v>416</v>
      </c>
      <c r="EB46" s="1">
        <v>46111.203275462962</v>
      </c>
      <c r="EF46">
        <v>120</v>
      </c>
      <c r="EG46" s="1">
        <v>46111.225335648145</v>
      </c>
      <c r="EJ46" s="1">
        <v>46111.35324074074</v>
      </c>
      <c r="EK46">
        <v>0.06</v>
      </c>
      <c r="EL46">
        <v>623</v>
      </c>
      <c r="EM46">
        <v>2914</v>
      </c>
      <c r="EN46">
        <v>0.04</v>
      </c>
      <c r="EO46">
        <v>876</v>
      </c>
      <c r="EP46">
        <v>2980</v>
      </c>
      <c r="EQ46">
        <v>8.7200000000000006</v>
      </c>
      <c r="ER46">
        <v>4</v>
      </c>
      <c r="ES46">
        <v>2922</v>
      </c>
      <c r="ET46">
        <v>0</v>
      </c>
      <c r="EU46">
        <v>0</v>
      </c>
      <c r="EV46">
        <v>2867</v>
      </c>
      <c r="EW46">
        <v>0</v>
      </c>
      <c r="EX46">
        <v>0</v>
      </c>
      <c r="EY46">
        <v>2841</v>
      </c>
      <c r="EZ46">
        <v>0</v>
      </c>
      <c r="FA46">
        <v>0</v>
      </c>
      <c r="FB46">
        <v>2876</v>
      </c>
      <c r="FC46">
        <v>7.7</v>
      </c>
      <c r="FJ46" t="s">
        <v>674</v>
      </c>
      <c r="FK46">
        <v>97</v>
      </c>
      <c r="FL46" s="1">
        <v>46111.353032407409</v>
      </c>
      <c r="FM46">
        <v>88</v>
      </c>
      <c r="FN46">
        <v>7604</v>
      </c>
      <c r="FO46">
        <v>7604</v>
      </c>
      <c r="FP46">
        <v>88</v>
      </c>
      <c r="FQ46">
        <v>7604</v>
      </c>
      <c r="FR46">
        <v>7604</v>
      </c>
      <c r="FS46" t="s">
        <v>605</v>
      </c>
      <c r="FT46" t="s">
        <v>638</v>
      </c>
      <c r="FV46" t="s">
        <v>573</v>
      </c>
      <c r="FW46" t="b">
        <v>0</v>
      </c>
      <c r="GA46" t="s">
        <v>719</v>
      </c>
      <c r="GB46">
        <v>18527</v>
      </c>
      <c r="GC46" s="1">
        <v>46111.133009259262</v>
      </c>
      <c r="GD46" t="s">
        <v>590</v>
      </c>
      <c r="GE46" t="s">
        <v>659</v>
      </c>
      <c r="GF46">
        <v>307</v>
      </c>
      <c r="GG46">
        <v>104</v>
      </c>
      <c r="GH46">
        <v>84</v>
      </c>
      <c r="GI46" t="s">
        <v>574</v>
      </c>
      <c r="GJ46">
        <v>247.96</v>
      </c>
      <c r="GL46">
        <v>2117</v>
      </c>
      <c r="GN46" t="s">
        <v>661</v>
      </c>
      <c r="GP46">
        <v>2117</v>
      </c>
      <c r="GR46" t="s">
        <v>661</v>
      </c>
      <c r="GS46">
        <v>1273</v>
      </c>
      <c r="GT46">
        <v>1578</v>
      </c>
      <c r="GU46">
        <v>6.8</v>
      </c>
      <c r="GV46">
        <v>8.9</v>
      </c>
      <c r="GW46">
        <v>7</v>
      </c>
      <c r="GX46">
        <v>9</v>
      </c>
      <c r="GY46">
        <v>6.6</v>
      </c>
      <c r="GZ46">
        <v>7.1</v>
      </c>
      <c r="HA46">
        <v>6.8</v>
      </c>
      <c r="HB46">
        <v>8.1</v>
      </c>
      <c r="HC46">
        <v>48.5</v>
      </c>
      <c r="HD46">
        <v>60.63</v>
      </c>
      <c r="HE46">
        <v>49</v>
      </c>
      <c r="HF46">
        <v>61</v>
      </c>
      <c r="HI46" s="2">
        <v>46111</v>
      </c>
      <c r="HJ46" t="s">
        <v>581</v>
      </c>
      <c r="HK46" t="s">
        <v>519</v>
      </c>
      <c r="HM46">
        <v>3</v>
      </c>
      <c r="HN46">
        <v>2</v>
      </c>
      <c r="HV46">
        <v>1</v>
      </c>
      <c r="HW46" t="b">
        <v>1</v>
      </c>
      <c r="HX46" s="1">
        <v>46111.20008101852</v>
      </c>
      <c r="HY46" t="b">
        <v>0</v>
      </c>
      <c r="IJ46">
        <v>2775</v>
      </c>
      <c r="IK46">
        <v>35</v>
      </c>
      <c r="IL46">
        <v>32</v>
      </c>
      <c r="IM46">
        <v>24</v>
      </c>
      <c r="IN46" t="s">
        <v>606</v>
      </c>
      <c r="IO46" t="s">
        <v>720</v>
      </c>
      <c r="IP46" t="s">
        <v>720</v>
      </c>
      <c r="IQ46" t="s">
        <v>577</v>
      </c>
      <c r="IR46">
        <v>8</v>
      </c>
      <c r="IT46" t="s">
        <v>721</v>
      </c>
      <c r="IU46" s="1">
        <v>46111.22247685185</v>
      </c>
      <c r="IV46">
        <v>28499</v>
      </c>
      <c r="IW46">
        <v>28497</v>
      </c>
      <c r="IX46">
        <v>28499</v>
      </c>
      <c r="IY46">
        <v>231.02442400000001</v>
      </c>
      <c r="IZ46">
        <v>9.3912359999999993</v>
      </c>
      <c r="JA46">
        <v>8.1</v>
      </c>
      <c r="JB46">
        <v>0</v>
      </c>
      <c r="JC46">
        <v>1.202078</v>
      </c>
      <c r="JD46">
        <v>241.617738</v>
      </c>
      <c r="JE46">
        <v>249.717738</v>
      </c>
      <c r="JF46">
        <v>92.514200000000002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61</v>
      </c>
      <c r="JM46">
        <v>9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9</v>
      </c>
      <c r="JU46">
        <v>0</v>
      </c>
      <c r="JV46">
        <v>120</v>
      </c>
      <c r="JW46">
        <v>462048.8481</v>
      </c>
      <c r="JX46">
        <v>2952</v>
      </c>
      <c r="JY46">
        <v>60.9</v>
      </c>
      <c r="JZ46">
        <v>9.0625</v>
      </c>
      <c r="KA46">
        <v>120</v>
      </c>
      <c r="KB46">
        <v>231.02442400000001</v>
      </c>
      <c r="KC46">
        <v>1.202078</v>
      </c>
      <c r="KD46">
        <v>9.3912359999999993</v>
      </c>
      <c r="KE46">
        <v>0</v>
      </c>
      <c r="KF46">
        <v>18782.4735</v>
      </c>
      <c r="KG46">
        <v>1.1000000000000001</v>
      </c>
      <c r="KH46">
        <v>7</v>
      </c>
      <c r="KI46">
        <v>0</v>
      </c>
      <c r="KJ46">
        <v>7604</v>
      </c>
      <c r="KK46">
        <v>0.28360000000000002</v>
      </c>
      <c r="KL46">
        <v>28499</v>
      </c>
      <c r="KM46">
        <v>198220</v>
      </c>
      <c r="KN46">
        <v>48060</v>
      </c>
      <c r="KP46">
        <v>208260</v>
      </c>
      <c r="KW46">
        <v>48940</v>
      </c>
      <c r="LV46">
        <v>58380</v>
      </c>
      <c r="MD46">
        <v>51800</v>
      </c>
      <c r="MP46">
        <v>182998</v>
      </c>
      <c r="MQ46">
        <v>48799</v>
      </c>
      <c r="MS46">
        <v>208496</v>
      </c>
      <c r="MZ46">
        <v>48799</v>
      </c>
      <c r="NP46">
        <v>30499</v>
      </c>
      <c r="NY46">
        <v>42699</v>
      </c>
      <c r="OG46">
        <v>48799</v>
      </c>
      <c r="OT46">
        <v>2362</v>
      </c>
      <c r="PA46">
        <v>555</v>
      </c>
      <c r="PB46">
        <v>4005</v>
      </c>
      <c r="PC46">
        <v>485816</v>
      </c>
      <c r="PD46">
        <v>49249</v>
      </c>
      <c r="PE46">
        <v>9786</v>
      </c>
      <c r="PG46">
        <v>6</v>
      </c>
      <c r="PI46">
        <v>2</v>
      </c>
      <c r="PJ46">
        <v>13285</v>
      </c>
      <c r="PM46">
        <v>15218</v>
      </c>
      <c r="PS46">
        <v>500</v>
      </c>
      <c r="PW46">
        <v>3889</v>
      </c>
      <c r="PX46">
        <v>356</v>
      </c>
      <c r="QA46">
        <v>586</v>
      </c>
      <c r="QD46">
        <v>699</v>
      </c>
      <c r="QE46">
        <v>499</v>
      </c>
      <c r="QG46">
        <v>574</v>
      </c>
      <c r="QI46">
        <v>220</v>
      </c>
      <c r="QK46">
        <v>7</v>
      </c>
      <c r="QM46">
        <v>11</v>
      </c>
      <c r="QN46">
        <v>225</v>
      </c>
      <c r="QS46">
        <v>147</v>
      </c>
      <c r="SE46" s="1">
        <v>46086.322222222225</v>
      </c>
      <c r="SF46">
        <v>28499</v>
      </c>
      <c r="SG46">
        <v>409130</v>
      </c>
      <c r="SH46">
        <v>20</v>
      </c>
      <c r="SI46" t="s">
        <v>567</v>
      </c>
      <c r="SJ46">
        <v>50</v>
      </c>
      <c r="SK46" s="1">
        <v>46111.202037037037</v>
      </c>
      <c r="SZ46">
        <v>0.06</v>
      </c>
      <c r="TA46">
        <v>0.93799999999999994</v>
      </c>
      <c r="TB46">
        <v>1.54E-2</v>
      </c>
      <c r="TC46">
        <v>2.3E-3</v>
      </c>
      <c r="TD46">
        <v>0.16600000000000001</v>
      </c>
      <c r="TE46">
        <v>0.1</v>
      </c>
      <c r="TF46">
        <v>3.9E-2</v>
      </c>
      <c r="TG46">
        <v>6.0999999999999999E-2</v>
      </c>
      <c r="TH46">
        <v>2.1999999999999999E-2</v>
      </c>
      <c r="TI46">
        <v>2.8000000000000001E-2</v>
      </c>
      <c r="TJ46">
        <v>7.0000000000000001E-3</v>
      </c>
      <c r="TK46">
        <v>3.7972999999999999</v>
      </c>
      <c r="TL46">
        <v>4.0000000000000001E-3</v>
      </c>
      <c r="TM46">
        <v>2.7799999999999998E-2</v>
      </c>
      <c r="TN46">
        <v>1.6000000000000001E-3</v>
      </c>
      <c r="TO46">
        <v>2.76E-2</v>
      </c>
      <c r="TP46">
        <v>5.7000000000000002E-3</v>
      </c>
      <c r="TQ46">
        <v>7.4000000000000003E-3</v>
      </c>
      <c r="TR46">
        <v>2.9999999999999997E-4</v>
      </c>
      <c r="TS46" t="s">
        <v>578</v>
      </c>
      <c r="TU46">
        <v>0.1242</v>
      </c>
      <c r="TV46">
        <v>4.7000000000000002E-3</v>
      </c>
      <c r="UD46">
        <v>0.24</v>
      </c>
      <c r="UE46">
        <v>0.2681</v>
      </c>
      <c r="UF46">
        <v>3.73</v>
      </c>
      <c r="UH46">
        <v>2.1000000000000001E-4</v>
      </c>
      <c r="UJ46">
        <v>0.25890000000000002</v>
      </c>
      <c r="UK46">
        <v>0.16</v>
      </c>
      <c r="UL46">
        <v>0.2</v>
      </c>
      <c r="UM46">
        <v>5.9400000000000001E-2</v>
      </c>
      <c r="UN46">
        <v>0.222</v>
      </c>
      <c r="UO46">
        <v>3.0108999999999999</v>
      </c>
      <c r="UP46">
        <v>1.64</v>
      </c>
      <c r="UQ46">
        <v>0.61</v>
      </c>
      <c r="UR46" s="1">
        <v>46086.322222222225</v>
      </c>
    </row>
    <row r="47" spans="1:564" x14ac:dyDescent="0.35">
      <c r="A47">
        <v>28500</v>
      </c>
      <c r="B47">
        <v>18530</v>
      </c>
      <c r="C47">
        <v>850</v>
      </c>
      <c r="D47">
        <v>26136</v>
      </c>
      <c r="G47" t="s">
        <v>602</v>
      </c>
      <c r="H47">
        <v>500000</v>
      </c>
      <c r="L47" t="s">
        <v>678</v>
      </c>
      <c r="M47">
        <v>73</v>
      </c>
      <c r="N47">
        <v>307</v>
      </c>
      <c r="O47" t="s">
        <v>603</v>
      </c>
      <c r="P47">
        <v>7</v>
      </c>
      <c r="S47" s="1">
        <v>46111.164444444446</v>
      </c>
      <c r="U47">
        <v>76</v>
      </c>
      <c r="W47">
        <v>64</v>
      </c>
      <c r="X47">
        <v>495910</v>
      </c>
      <c r="Y47" s="1">
        <v>46111.262546296297</v>
      </c>
      <c r="AB47">
        <v>91423</v>
      </c>
      <c r="AC47">
        <v>314</v>
      </c>
      <c r="AD47">
        <v>1122</v>
      </c>
      <c r="AE47">
        <v>203969</v>
      </c>
      <c r="AF47">
        <v>0</v>
      </c>
      <c r="AG47">
        <v>0</v>
      </c>
      <c r="AH47">
        <v>3074</v>
      </c>
      <c r="AI47">
        <v>7.0000000000000007E-2</v>
      </c>
      <c r="AJ47">
        <v>510</v>
      </c>
      <c r="AK47">
        <v>2809</v>
      </c>
      <c r="AL47">
        <v>54</v>
      </c>
      <c r="AM47" t="s">
        <v>760</v>
      </c>
      <c r="AO47" s="1">
        <v>46111.351886574077</v>
      </c>
      <c r="AP47">
        <v>2</v>
      </c>
      <c r="AS47" s="1">
        <v>46111.264513888891</v>
      </c>
      <c r="AT47" s="1">
        <v>46111.351203703707</v>
      </c>
      <c r="AU47">
        <v>24</v>
      </c>
      <c r="AV47">
        <v>106</v>
      </c>
      <c r="AY47">
        <v>510349</v>
      </c>
      <c r="AZ47">
        <v>498000</v>
      </c>
      <c r="BA47">
        <v>2290</v>
      </c>
      <c r="BB47">
        <v>2952</v>
      </c>
      <c r="BC47">
        <v>2871</v>
      </c>
      <c r="BD47">
        <v>0</v>
      </c>
      <c r="BG47" s="1">
        <v>46111.352025462962</v>
      </c>
      <c r="BH47" s="1">
        <v>46111.354733796295</v>
      </c>
      <c r="BI47" s="1">
        <v>46111.395173611112</v>
      </c>
      <c r="BJ47" s="1">
        <v>46111.446828703702</v>
      </c>
      <c r="BK47">
        <v>1.1000000000000001</v>
      </c>
      <c r="BM47">
        <v>4126</v>
      </c>
      <c r="BS47" t="s">
        <v>677</v>
      </c>
      <c r="BT47" s="1">
        <v>46111.360983796294</v>
      </c>
      <c r="BU47" s="1">
        <v>46111.41028935185</v>
      </c>
      <c r="BV47" t="b">
        <v>0</v>
      </c>
      <c r="BX47">
        <v>2</v>
      </c>
      <c r="BY47" t="b">
        <v>0</v>
      </c>
      <c r="CD47">
        <v>1</v>
      </c>
      <c r="CF47" s="1">
        <v>46111.125671296293</v>
      </c>
      <c r="CG47" t="b">
        <v>0</v>
      </c>
      <c r="CH47" t="b">
        <v>0</v>
      </c>
      <c r="CI47" t="b">
        <v>0</v>
      </c>
      <c r="CJ47" t="b">
        <v>0</v>
      </c>
      <c r="CK47" t="b">
        <v>0</v>
      </c>
      <c r="CL47" t="b">
        <v>0</v>
      </c>
      <c r="CM47" t="b">
        <v>0</v>
      </c>
      <c r="CN47" t="b">
        <v>0</v>
      </c>
      <c r="CP47">
        <v>6</v>
      </c>
      <c r="CR47">
        <v>2</v>
      </c>
      <c r="CS47">
        <v>2815</v>
      </c>
      <c r="CT47">
        <v>2813</v>
      </c>
      <c r="CU47">
        <v>2814</v>
      </c>
      <c r="CZ47">
        <v>5.63</v>
      </c>
      <c r="DA47">
        <v>5.81</v>
      </c>
      <c r="DB47">
        <v>8.8000000000000007</v>
      </c>
      <c r="DC47">
        <v>8.8000000000000007</v>
      </c>
      <c r="DH47">
        <v>4452</v>
      </c>
      <c r="DI47">
        <v>4446</v>
      </c>
      <c r="DJ47">
        <v>416</v>
      </c>
      <c r="DK47">
        <v>416</v>
      </c>
      <c r="DP47">
        <v>4473</v>
      </c>
      <c r="DQ47">
        <v>4454</v>
      </c>
      <c r="DR47">
        <v>416</v>
      </c>
      <c r="DS47">
        <v>416</v>
      </c>
      <c r="DX47">
        <v>4419</v>
      </c>
      <c r="DY47">
        <v>4460</v>
      </c>
      <c r="DZ47">
        <v>418</v>
      </c>
      <c r="EA47">
        <v>416</v>
      </c>
      <c r="EB47" s="1">
        <v>46111.410879629628</v>
      </c>
      <c r="EG47" s="1">
        <v>46111.446828703702</v>
      </c>
      <c r="EJ47" s="1">
        <v>46111.480150462965</v>
      </c>
      <c r="EK47">
        <v>0.05</v>
      </c>
      <c r="EL47">
        <v>729</v>
      </c>
      <c r="EM47">
        <v>2908</v>
      </c>
      <c r="EN47">
        <v>0.04</v>
      </c>
      <c r="EO47">
        <v>805</v>
      </c>
      <c r="EP47">
        <v>2880</v>
      </c>
      <c r="EQ47">
        <v>0</v>
      </c>
      <c r="ER47">
        <v>0</v>
      </c>
      <c r="ES47">
        <v>2952</v>
      </c>
      <c r="ET47">
        <v>5.86</v>
      </c>
      <c r="EU47">
        <v>6</v>
      </c>
      <c r="EV47">
        <v>2940</v>
      </c>
      <c r="EW47">
        <v>0</v>
      </c>
      <c r="EX47">
        <v>0</v>
      </c>
      <c r="EY47">
        <v>2897</v>
      </c>
      <c r="EZ47">
        <v>0</v>
      </c>
      <c r="FA47">
        <v>0</v>
      </c>
      <c r="FB47">
        <v>2883</v>
      </c>
      <c r="FC47">
        <v>9.5</v>
      </c>
      <c r="FD47">
        <v>9.1999999999999993</v>
      </c>
      <c r="FJ47" t="s">
        <v>761</v>
      </c>
      <c r="FK47">
        <v>114</v>
      </c>
      <c r="FL47" s="1">
        <v>46111.479907407411</v>
      </c>
      <c r="FM47">
        <v>88</v>
      </c>
      <c r="FN47">
        <v>7604</v>
      </c>
      <c r="FO47">
        <v>7604</v>
      </c>
      <c r="FP47">
        <v>88</v>
      </c>
      <c r="FQ47">
        <v>7604</v>
      </c>
      <c r="FR47">
        <v>7604</v>
      </c>
      <c r="FS47" t="s">
        <v>605</v>
      </c>
      <c r="FT47" t="s">
        <v>666</v>
      </c>
      <c r="FV47" t="s">
        <v>573</v>
      </c>
      <c r="FW47" t="b">
        <v>0</v>
      </c>
      <c r="GA47" t="s">
        <v>762</v>
      </c>
      <c r="GB47">
        <v>18530</v>
      </c>
      <c r="GC47" s="1">
        <v>46111.360983796294</v>
      </c>
      <c r="GD47" t="s">
        <v>590</v>
      </c>
      <c r="GE47" t="s">
        <v>672</v>
      </c>
      <c r="GF47">
        <v>142</v>
      </c>
      <c r="GG47">
        <v>125</v>
      </c>
      <c r="GH47">
        <v>74</v>
      </c>
      <c r="GI47" t="s">
        <v>565</v>
      </c>
      <c r="GJ47">
        <v>247.96</v>
      </c>
      <c r="GL47">
        <v>2369</v>
      </c>
      <c r="GN47" t="s">
        <v>673</v>
      </c>
      <c r="GP47">
        <v>2369</v>
      </c>
      <c r="GR47" t="s">
        <v>673</v>
      </c>
      <c r="HI47" s="2">
        <v>46111</v>
      </c>
      <c r="HJ47" t="s">
        <v>575</v>
      </c>
      <c r="HK47" t="s">
        <v>576</v>
      </c>
      <c r="HM47">
        <v>3</v>
      </c>
      <c r="HN47">
        <v>1</v>
      </c>
      <c r="HV47">
        <v>1</v>
      </c>
      <c r="HW47" t="b">
        <v>0</v>
      </c>
      <c r="IB47">
        <v>2870</v>
      </c>
      <c r="IJ47">
        <v>2775</v>
      </c>
      <c r="IK47">
        <v>40</v>
      </c>
      <c r="IL47">
        <v>38</v>
      </c>
      <c r="IM47">
        <v>39</v>
      </c>
      <c r="IN47" t="s">
        <v>606</v>
      </c>
      <c r="IO47" t="s">
        <v>681</v>
      </c>
      <c r="IP47" t="s">
        <v>681</v>
      </c>
      <c r="IQ47" t="s">
        <v>577</v>
      </c>
      <c r="IR47">
        <v>11</v>
      </c>
      <c r="IT47">
        <v>8986</v>
      </c>
      <c r="IV47">
        <v>28500</v>
      </c>
      <c r="IW47">
        <v>28372</v>
      </c>
      <c r="IX47">
        <v>28504</v>
      </c>
      <c r="IY47">
        <v>259.550883</v>
      </c>
      <c r="IZ47">
        <v>0</v>
      </c>
      <c r="JA47">
        <v>1.1000000000000001</v>
      </c>
      <c r="JB47">
        <v>0</v>
      </c>
      <c r="JC47">
        <v>1.2977540000000001</v>
      </c>
      <c r="JD47">
        <v>260.848637</v>
      </c>
      <c r="JE47">
        <v>261.94863700000002</v>
      </c>
      <c r="JF47">
        <v>99.084599999999995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73</v>
      </c>
      <c r="JM47">
        <v>9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9</v>
      </c>
      <c r="JU47">
        <v>0</v>
      </c>
      <c r="JV47">
        <v>0</v>
      </c>
      <c r="JW47">
        <v>519101.76791300002</v>
      </c>
      <c r="JX47">
        <v>2763</v>
      </c>
      <c r="JY47">
        <v>73.099999999999994</v>
      </c>
      <c r="JZ47">
        <v>9.0625</v>
      </c>
      <c r="KA47">
        <v>0</v>
      </c>
      <c r="KB47">
        <v>259.550883</v>
      </c>
      <c r="KC47">
        <v>1.2977540000000001</v>
      </c>
      <c r="KD47">
        <v>0</v>
      </c>
      <c r="KE47">
        <v>0</v>
      </c>
      <c r="KF47">
        <v>0</v>
      </c>
      <c r="KG47">
        <v>1.1000000000000001</v>
      </c>
      <c r="KH47">
        <v>0</v>
      </c>
      <c r="KI47">
        <v>0</v>
      </c>
      <c r="KJ47">
        <v>7604</v>
      </c>
      <c r="KK47">
        <v>0.28360000000000002</v>
      </c>
      <c r="KL47">
        <v>28500</v>
      </c>
      <c r="KM47">
        <v>165120</v>
      </c>
      <c r="KN47">
        <v>43660</v>
      </c>
      <c r="KP47">
        <v>185320</v>
      </c>
      <c r="KW47">
        <v>42760</v>
      </c>
      <c r="KX47">
        <v>24760</v>
      </c>
      <c r="LV47">
        <v>36060</v>
      </c>
      <c r="MD47">
        <v>43340</v>
      </c>
      <c r="MP47">
        <v>165371</v>
      </c>
      <c r="MQ47">
        <v>44099</v>
      </c>
      <c r="MS47">
        <v>163676</v>
      </c>
      <c r="MZ47">
        <v>44099</v>
      </c>
      <c r="NP47">
        <v>27561</v>
      </c>
      <c r="NY47">
        <v>38586</v>
      </c>
      <c r="OG47">
        <v>44099</v>
      </c>
      <c r="OT47">
        <v>2188</v>
      </c>
      <c r="PA47">
        <v>634</v>
      </c>
      <c r="PB47">
        <v>4075</v>
      </c>
      <c r="PC47">
        <v>449743</v>
      </c>
      <c r="PD47">
        <v>44736</v>
      </c>
      <c r="PE47">
        <v>10036</v>
      </c>
      <c r="PG47">
        <v>7</v>
      </c>
      <c r="PJ47">
        <v>10940</v>
      </c>
      <c r="PM47">
        <v>15810</v>
      </c>
      <c r="PW47">
        <v>5490</v>
      </c>
      <c r="PX47">
        <v>821</v>
      </c>
      <c r="PY47">
        <v>1091</v>
      </c>
      <c r="QA47">
        <v>3799</v>
      </c>
      <c r="QD47">
        <v>400</v>
      </c>
      <c r="QG47">
        <v>400</v>
      </c>
      <c r="QI47">
        <v>100</v>
      </c>
      <c r="QK47">
        <v>9</v>
      </c>
      <c r="QM47">
        <v>12</v>
      </c>
      <c r="QN47">
        <v>214</v>
      </c>
      <c r="QS47">
        <v>1141</v>
      </c>
      <c r="SE47" s="1">
        <v>46086.322222222225</v>
      </c>
      <c r="SF47">
        <v>28500</v>
      </c>
      <c r="SG47">
        <v>409251</v>
      </c>
      <c r="SH47">
        <v>20</v>
      </c>
      <c r="SI47" t="s">
        <v>567</v>
      </c>
      <c r="SJ47">
        <v>50</v>
      </c>
      <c r="SK47" s="1">
        <v>46111.47388888889</v>
      </c>
      <c r="SZ47">
        <v>6.9000000000000006E-2</v>
      </c>
      <c r="TA47">
        <v>0.98899999999999999</v>
      </c>
      <c r="TB47">
        <v>5.4000000000000003E-3</v>
      </c>
      <c r="TC47">
        <v>1.1999999999999999E-3</v>
      </c>
      <c r="TD47">
        <v>0.17599999999999999</v>
      </c>
      <c r="TE47">
        <v>9.2999999999999999E-2</v>
      </c>
      <c r="TF47">
        <v>3.2000000000000001E-2</v>
      </c>
      <c r="TG47">
        <v>6.0999999999999999E-2</v>
      </c>
      <c r="TH47">
        <v>2.1000000000000001E-2</v>
      </c>
      <c r="TI47">
        <v>2.4E-2</v>
      </c>
      <c r="TJ47">
        <v>6.0000000000000001E-3</v>
      </c>
      <c r="TK47">
        <v>2.6931799999999999</v>
      </c>
      <c r="TL47">
        <v>3.0000000000000001E-3</v>
      </c>
      <c r="TM47">
        <v>2.8299999999999999E-2</v>
      </c>
      <c r="TN47">
        <v>1.6999999999999999E-3</v>
      </c>
      <c r="TO47">
        <v>2.1899999999999999E-2</v>
      </c>
      <c r="TQ47">
        <v>8.8000000000000005E-3</v>
      </c>
      <c r="TR47">
        <v>5.0000000000000001E-4</v>
      </c>
      <c r="TS47" t="s">
        <v>578</v>
      </c>
      <c r="TU47">
        <v>0.1356</v>
      </c>
      <c r="TV47">
        <v>4.3E-3</v>
      </c>
      <c r="UD47">
        <v>0.26</v>
      </c>
      <c r="UE47">
        <v>0.28439999999999999</v>
      </c>
      <c r="UF47">
        <v>2.4900000000000002</v>
      </c>
      <c r="UH47">
        <v>2.1000000000000001E-4</v>
      </c>
      <c r="UJ47">
        <v>0.23780000000000001</v>
      </c>
      <c r="UK47">
        <v>0.14000000000000001</v>
      </c>
      <c r="UL47">
        <v>0.19</v>
      </c>
      <c r="UM47">
        <v>5.3199999999999997E-2</v>
      </c>
      <c r="UN47">
        <v>0.20699999999999999</v>
      </c>
      <c r="UO47">
        <v>2.7164000000000001</v>
      </c>
      <c r="UP47">
        <v>1.52</v>
      </c>
      <c r="UQ47">
        <v>0.66</v>
      </c>
      <c r="UR47" s="1">
        <v>46086.322222222225</v>
      </c>
    </row>
    <row r="48" spans="1:564" x14ac:dyDescent="0.35">
      <c r="A48">
        <v>28501</v>
      </c>
      <c r="B48">
        <v>18531</v>
      </c>
      <c r="C48">
        <v>850</v>
      </c>
      <c r="D48">
        <v>26136</v>
      </c>
      <c r="G48" t="s">
        <v>602</v>
      </c>
      <c r="H48">
        <v>500000</v>
      </c>
      <c r="L48" t="s">
        <v>678</v>
      </c>
      <c r="M48">
        <v>73</v>
      </c>
      <c r="N48">
        <v>307</v>
      </c>
      <c r="O48" t="s">
        <v>603</v>
      </c>
      <c r="P48">
        <v>2</v>
      </c>
      <c r="S48" s="1">
        <v>46111.262546296297</v>
      </c>
      <c r="U48">
        <v>66</v>
      </c>
      <c r="W48">
        <v>8</v>
      </c>
      <c r="X48">
        <v>495910</v>
      </c>
      <c r="Y48" s="1">
        <v>46111.314305555556</v>
      </c>
      <c r="AB48">
        <v>81517</v>
      </c>
      <c r="AC48">
        <v>315</v>
      </c>
      <c r="AD48">
        <v>1123</v>
      </c>
      <c r="AE48">
        <v>193560</v>
      </c>
      <c r="AF48">
        <v>0.05</v>
      </c>
      <c r="AG48">
        <v>641</v>
      </c>
      <c r="AH48">
        <v>2861</v>
      </c>
      <c r="AI48">
        <v>0.04</v>
      </c>
      <c r="AJ48">
        <v>788</v>
      </c>
      <c r="AK48">
        <v>2924</v>
      </c>
      <c r="AL48">
        <v>1</v>
      </c>
      <c r="AM48" t="s">
        <v>679</v>
      </c>
      <c r="AO48" s="1">
        <v>46111.515127314815</v>
      </c>
      <c r="AP48">
        <v>1</v>
      </c>
      <c r="AS48" s="1">
        <v>46111.31931712963</v>
      </c>
      <c r="AT48" s="1">
        <v>46111.396956018521</v>
      </c>
      <c r="AU48">
        <v>19</v>
      </c>
      <c r="AV48">
        <v>98</v>
      </c>
      <c r="AY48">
        <v>500158</v>
      </c>
      <c r="AZ48">
        <v>489357</v>
      </c>
      <c r="BA48">
        <v>1830</v>
      </c>
      <c r="BB48">
        <v>2978</v>
      </c>
      <c r="BC48">
        <v>2875</v>
      </c>
      <c r="BD48">
        <v>0</v>
      </c>
      <c r="BG48" s="1">
        <v>46111.397534722222</v>
      </c>
      <c r="BH48" s="1">
        <v>46111.406469907408</v>
      </c>
      <c r="BI48" s="1">
        <v>46111.446967592594</v>
      </c>
      <c r="BJ48" s="1">
        <v>46111.496261574073</v>
      </c>
      <c r="BK48">
        <v>1.1000000000000001</v>
      </c>
      <c r="BM48">
        <v>4126</v>
      </c>
      <c r="BT48" s="1">
        <v>46111.41133101852</v>
      </c>
      <c r="BU48" s="1">
        <v>46111.45994212963</v>
      </c>
      <c r="BV48" t="b">
        <v>0</v>
      </c>
      <c r="BX48">
        <v>2</v>
      </c>
      <c r="BY48" t="b">
        <v>0</v>
      </c>
      <c r="CD48">
        <v>1</v>
      </c>
      <c r="CF48" s="1">
        <v>46111.125567129631</v>
      </c>
      <c r="CG48" t="b">
        <v>0</v>
      </c>
      <c r="CH48" t="b">
        <v>0</v>
      </c>
      <c r="CI48" t="b">
        <v>0</v>
      </c>
      <c r="CJ48" t="b">
        <v>0</v>
      </c>
      <c r="CK48" t="b">
        <v>0</v>
      </c>
      <c r="CL48" t="b">
        <v>0</v>
      </c>
      <c r="CM48" t="b">
        <v>0</v>
      </c>
      <c r="CN48" t="b">
        <v>0</v>
      </c>
      <c r="CP48">
        <v>6</v>
      </c>
      <c r="CR48">
        <v>2</v>
      </c>
      <c r="CS48">
        <v>2812</v>
      </c>
      <c r="CT48">
        <v>2827</v>
      </c>
      <c r="CU48">
        <v>2814</v>
      </c>
      <c r="CZ48">
        <v>5.24</v>
      </c>
      <c r="DA48">
        <v>6.12</v>
      </c>
      <c r="DB48">
        <v>8.23</v>
      </c>
      <c r="DC48">
        <v>8.3800000000000008</v>
      </c>
      <c r="DH48">
        <v>4462</v>
      </c>
      <c r="DI48">
        <v>4467</v>
      </c>
      <c r="DJ48">
        <v>416</v>
      </c>
      <c r="DK48">
        <v>415</v>
      </c>
      <c r="DP48">
        <v>4446</v>
      </c>
      <c r="DQ48">
        <v>4430</v>
      </c>
      <c r="DR48">
        <v>415</v>
      </c>
      <c r="DS48">
        <v>414</v>
      </c>
      <c r="DX48">
        <v>4440</v>
      </c>
      <c r="DY48">
        <v>4443</v>
      </c>
      <c r="DZ48">
        <v>415</v>
      </c>
      <c r="EA48">
        <v>416</v>
      </c>
      <c r="EB48" s="1">
        <v>46111.460810185185</v>
      </c>
      <c r="EG48" s="1">
        <v>46111.496261574073</v>
      </c>
      <c r="EJ48" s="1">
        <v>46111.50744212963</v>
      </c>
      <c r="EK48">
        <v>0.04</v>
      </c>
      <c r="EL48">
        <v>820</v>
      </c>
      <c r="EM48">
        <v>2970</v>
      </c>
      <c r="EN48">
        <v>0.03</v>
      </c>
      <c r="EO48">
        <v>1075</v>
      </c>
      <c r="EP48">
        <v>3032</v>
      </c>
      <c r="EQ48">
        <v>5.97</v>
      </c>
      <c r="ER48">
        <v>6</v>
      </c>
      <c r="ES48">
        <v>2978</v>
      </c>
      <c r="ET48">
        <v>0</v>
      </c>
      <c r="EU48">
        <v>0</v>
      </c>
      <c r="EV48">
        <v>2889</v>
      </c>
      <c r="EW48">
        <v>0</v>
      </c>
      <c r="EX48">
        <v>0</v>
      </c>
      <c r="EY48">
        <v>2890</v>
      </c>
      <c r="EZ48">
        <v>0</v>
      </c>
      <c r="FA48">
        <v>0</v>
      </c>
      <c r="FB48">
        <v>2888</v>
      </c>
      <c r="FC48">
        <v>8.4</v>
      </c>
      <c r="FK48">
        <v>251</v>
      </c>
      <c r="FL48" s="1">
        <v>46111.515127314815</v>
      </c>
      <c r="FM48">
        <v>88</v>
      </c>
      <c r="FN48">
        <v>7604</v>
      </c>
      <c r="FO48">
        <v>7604</v>
      </c>
      <c r="FP48">
        <v>88</v>
      </c>
      <c r="FQ48">
        <v>7604</v>
      </c>
      <c r="FR48">
        <v>7604</v>
      </c>
      <c r="FS48" t="s">
        <v>605</v>
      </c>
      <c r="FT48" t="s">
        <v>638</v>
      </c>
      <c r="FV48" t="s">
        <v>573</v>
      </c>
      <c r="FW48" t="b">
        <v>0</v>
      </c>
      <c r="GA48" t="s">
        <v>680</v>
      </c>
      <c r="GB48">
        <v>18531</v>
      </c>
      <c r="GC48" s="1">
        <v>46111.41133101852</v>
      </c>
      <c r="GD48" t="s">
        <v>590</v>
      </c>
      <c r="GE48" t="s">
        <v>672</v>
      </c>
      <c r="GF48">
        <v>74</v>
      </c>
      <c r="GG48">
        <v>112</v>
      </c>
      <c r="GH48">
        <v>71</v>
      </c>
      <c r="GI48" t="s">
        <v>574</v>
      </c>
      <c r="GJ48">
        <v>247.96</v>
      </c>
      <c r="GL48">
        <v>2369</v>
      </c>
      <c r="GN48" t="s">
        <v>673</v>
      </c>
      <c r="GP48">
        <v>2369</v>
      </c>
      <c r="GR48" t="s">
        <v>673</v>
      </c>
      <c r="HI48" s="2">
        <v>46111</v>
      </c>
      <c r="HJ48" t="s">
        <v>575</v>
      </c>
      <c r="HK48" t="s">
        <v>576</v>
      </c>
      <c r="HM48">
        <v>4</v>
      </c>
      <c r="HN48">
        <v>1</v>
      </c>
      <c r="HV48">
        <v>1</v>
      </c>
      <c r="HW48" t="b">
        <v>0</v>
      </c>
      <c r="IB48">
        <v>2875</v>
      </c>
      <c r="IJ48">
        <v>2775</v>
      </c>
      <c r="IK48">
        <v>37</v>
      </c>
      <c r="IL48">
        <v>52</v>
      </c>
      <c r="IM48">
        <v>39</v>
      </c>
      <c r="IN48" t="s">
        <v>606</v>
      </c>
      <c r="IO48" t="s">
        <v>681</v>
      </c>
      <c r="IP48" t="s">
        <v>681</v>
      </c>
      <c r="IQ48" t="s">
        <v>577</v>
      </c>
      <c r="IR48">
        <v>8</v>
      </c>
      <c r="IT48">
        <v>8986</v>
      </c>
      <c r="IV48">
        <v>28501</v>
      </c>
      <c r="IW48">
        <v>28372</v>
      </c>
      <c r="IX48">
        <v>28504</v>
      </c>
      <c r="IY48">
        <v>259.550883</v>
      </c>
      <c r="IZ48">
        <v>0</v>
      </c>
      <c r="JA48">
        <v>1.1000000000000001</v>
      </c>
      <c r="JB48">
        <v>0</v>
      </c>
      <c r="JC48">
        <v>1.2977540000000001</v>
      </c>
      <c r="JD48">
        <v>260.848637</v>
      </c>
      <c r="JE48">
        <v>261.94863700000002</v>
      </c>
      <c r="JF48">
        <v>99.084599999999995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73</v>
      </c>
      <c r="JM48">
        <v>9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9</v>
      </c>
      <c r="JU48">
        <v>0</v>
      </c>
      <c r="JV48">
        <v>0</v>
      </c>
      <c r="JW48">
        <v>519101.76791300002</v>
      </c>
      <c r="JX48">
        <v>2763</v>
      </c>
      <c r="JY48">
        <v>73.099999999999994</v>
      </c>
      <c r="JZ48">
        <v>9.0625</v>
      </c>
      <c r="KA48">
        <v>0</v>
      </c>
      <c r="KB48">
        <v>259.550883</v>
      </c>
      <c r="KC48">
        <v>1.2977540000000001</v>
      </c>
      <c r="KD48">
        <v>0</v>
      </c>
      <c r="KE48">
        <v>0</v>
      </c>
      <c r="KF48">
        <v>0</v>
      </c>
      <c r="KG48">
        <v>1.1000000000000001</v>
      </c>
      <c r="KH48">
        <v>0</v>
      </c>
      <c r="KI48">
        <v>0</v>
      </c>
      <c r="KJ48">
        <v>7604</v>
      </c>
      <c r="KK48">
        <v>0.28360000000000002</v>
      </c>
      <c r="KL48">
        <v>28501</v>
      </c>
      <c r="KM48">
        <v>164940</v>
      </c>
      <c r="KN48">
        <v>45240</v>
      </c>
      <c r="KP48">
        <v>188120</v>
      </c>
      <c r="KW48">
        <v>44560</v>
      </c>
      <c r="KX48">
        <v>27640</v>
      </c>
      <c r="LV48">
        <v>35460</v>
      </c>
      <c r="MD48">
        <v>41200</v>
      </c>
      <c r="MP48">
        <v>165371</v>
      </c>
      <c r="MQ48">
        <v>44099</v>
      </c>
      <c r="MS48">
        <v>122693</v>
      </c>
      <c r="MZ48">
        <v>44099</v>
      </c>
      <c r="NP48">
        <v>27561</v>
      </c>
      <c r="NY48">
        <v>38585</v>
      </c>
      <c r="OG48">
        <v>44099</v>
      </c>
      <c r="OT48">
        <v>2021</v>
      </c>
      <c r="PA48">
        <v>723</v>
      </c>
      <c r="PB48">
        <v>3809</v>
      </c>
      <c r="PC48">
        <v>385373</v>
      </c>
      <c r="PD48">
        <v>37638</v>
      </c>
      <c r="PE48">
        <v>8969</v>
      </c>
      <c r="PG48">
        <v>4</v>
      </c>
      <c r="PJ48">
        <v>14017</v>
      </c>
      <c r="PM48">
        <v>15106</v>
      </c>
      <c r="PS48">
        <v>500</v>
      </c>
      <c r="PV48">
        <v>3683</v>
      </c>
      <c r="PW48">
        <v>4677</v>
      </c>
      <c r="PX48">
        <v>1016</v>
      </c>
      <c r="PY48">
        <v>688</v>
      </c>
      <c r="QA48">
        <v>3495</v>
      </c>
      <c r="QD48">
        <v>499</v>
      </c>
      <c r="QE48">
        <v>949</v>
      </c>
      <c r="QG48">
        <v>499</v>
      </c>
      <c r="QI48">
        <v>199</v>
      </c>
      <c r="QK48">
        <v>6</v>
      </c>
      <c r="QM48">
        <v>9</v>
      </c>
      <c r="QN48">
        <v>240</v>
      </c>
      <c r="QS48">
        <v>797</v>
      </c>
      <c r="SE48" s="1">
        <v>46086.322222222225</v>
      </c>
      <c r="SF48">
        <v>28501</v>
      </c>
      <c r="SG48">
        <v>409247</v>
      </c>
      <c r="SH48">
        <v>20</v>
      </c>
      <c r="SI48" t="s">
        <v>567</v>
      </c>
      <c r="SJ48">
        <v>50</v>
      </c>
      <c r="SK48" s="1">
        <v>46111.467731481483</v>
      </c>
      <c r="SZ48">
        <v>6.7000000000000004E-2</v>
      </c>
      <c r="TA48">
        <v>0.92700000000000005</v>
      </c>
      <c r="TB48">
        <v>6.0000000000000001E-3</v>
      </c>
      <c r="TC48">
        <v>1.1000000000000001E-3</v>
      </c>
      <c r="TD48">
        <v>0.17</v>
      </c>
      <c r="TE48">
        <v>0.14599999999999999</v>
      </c>
      <c r="TF48">
        <v>3.5000000000000003E-2</v>
      </c>
      <c r="TG48">
        <v>6.7000000000000004E-2</v>
      </c>
      <c r="TH48">
        <v>1.7999999999999999E-2</v>
      </c>
      <c r="TI48">
        <v>3.5000000000000003E-2</v>
      </c>
      <c r="TJ48">
        <v>6.0000000000000001E-3</v>
      </c>
      <c r="TK48">
        <v>4.1428599999999998</v>
      </c>
      <c r="TL48">
        <v>3.0000000000000001E-3</v>
      </c>
      <c r="TM48">
        <v>2.7099999999999999E-2</v>
      </c>
      <c r="TN48">
        <v>1.6000000000000001E-3</v>
      </c>
      <c r="TO48">
        <v>2.4799999999999999E-2</v>
      </c>
      <c r="TQ48">
        <v>8.3999999999999995E-3</v>
      </c>
      <c r="TR48">
        <v>5.0000000000000001E-4</v>
      </c>
      <c r="TS48" t="s">
        <v>578</v>
      </c>
      <c r="TU48">
        <v>0.1336</v>
      </c>
      <c r="TV48">
        <v>4.4999999999999997E-3</v>
      </c>
      <c r="UD48">
        <v>0.25</v>
      </c>
      <c r="UE48">
        <v>0.27560000000000001</v>
      </c>
      <c r="UF48">
        <v>2.95</v>
      </c>
      <c r="UH48">
        <v>2.9E-4</v>
      </c>
      <c r="UJ48">
        <v>0.29970000000000002</v>
      </c>
      <c r="UK48">
        <v>0.2</v>
      </c>
      <c r="UL48">
        <v>0.25</v>
      </c>
      <c r="UM48">
        <v>5.4899999999999997E-2</v>
      </c>
      <c r="UN48">
        <v>0.26600000000000001</v>
      </c>
      <c r="UO48">
        <v>3.6697000000000002</v>
      </c>
      <c r="UP48">
        <v>2.1800000000000002</v>
      </c>
      <c r="UQ48">
        <v>0.46</v>
      </c>
      <c r="UR48" s="1">
        <v>46086.322222222225</v>
      </c>
    </row>
    <row r="49" spans="1:564" x14ac:dyDescent="0.35">
      <c r="A49">
        <v>28502</v>
      </c>
      <c r="B49">
        <v>18532</v>
      </c>
      <c r="C49">
        <v>850</v>
      </c>
      <c r="D49">
        <v>26136</v>
      </c>
      <c r="G49" t="s">
        <v>602</v>
      </c>
      <c r="H49">
        <v>500000</v>
      </c>
      <c r="L49" t="s">
        <v>678</v>
      </c>
      <c r="M49">
        <v>73</v>
      </c>
      <c r="N49">
        <v>307</v>
      </c>
      <c r="O49" t="s">
        <v>603</v>
      </c>
      <c r="P49">
        <v>3</v>
      </c>
      <c r="S49" s="1">
        <v>46111.314305555556</v>
      </c>
      <c r="U49">
        <v>74</v>
      </c>
      <c r="W49">
        <v>6</v>
      </c>
      <c r="X49">
        <v>505469</v>
      </c>
      <c r="Y49" s="1">
        <v>46111.370034722226</v>
      </c>
      <c r="AB49">
        <v>88825</v>
      </c>
      <c r="AC49">
        <v>316</v>
      </c>
      <c r="AD49">
        <v>1124</v>
      </c>
      <c r="AE49">
        <v>155380</v>
      </c>
      <c r="AF49">
        <v>0.03</v>
      </c>
      <c r="AG49">
        <v>1338</v>
      </c>
      <c r="AH49">
        <v>3097</v>
      </c>
      <c r="AI49">
        <v>0.03</v>
      </c>
      <c r="AJ49">
        <v>1328</v>
      </c>
      <c r="AK49">
        <v>3102</v>
      </c>
      <c r="AL49">
        <v>2</v>
      </c>
      <c r="AM49" t="s">
        <v>707</v>
      </c>
      <c r="AO49" s="1">
        <v>46111.597395833334</v>
      </c>
      <c r="AP49">
        <v>2</v>
      </c>
      <c r="AS49" s="1">
        <v>46111.374432870369</v>
      </c>
      <c r="AT49" s="1">
        <v>46111.448877314811</v>
      </c>
      <c r="AU49">
        <v>7</v>
      </c>
      <c r="AV49">
        <v>58</v>
      </c>
      <c r="AY49">
        <v>518153</v>
      </c>
      <c r="AZ49">
        <v>505469</v>
      </c>
      <c r="BA49">
        <v>750</v>
      </c>
      <c r="BB49">
        <v>3072</v>
      </c>
      <c r="BC49">
        <v>2883</v>
      </c>
      <c r="BD49">
        <v>0</v>
      </c>
      <c r="BG49" s="1">
        <v>46111.449293981481</v>
      </c>
      <c r="BH49" s="1">
        <v>46111.457291666666</v>
      </c>
      <c r="BI49" s="1">
        <v>46111.49627314815</v>
      </c>
      <c r="BJ49" s="1">
        <v>46111.544317129628</v>
      </c>
      <c r="BK49">
        <v>1.1000000000000001</v>
      </c>
      <c r="BM49">
        <v>4126</v>
      </c>
      <c r="BS49" t="s">
        <v>708</v>
      </c>
      <c r="BT49" s="1">
        <v>46111.461458333331</v>
      </c>
      <c r="BU49" s="1">
        <v>46111.510069444441</v>
      </c>
      <c r="BV49" t="b">
        <v>0</v>
      </c>
      <c r="BX49">
        <v>2</v>
      </c>
      <c r="BY49" t="b">
        <v>0</v>
      </c>
      <c r="CD49">
        <v>1</v>
      </c>
      <c r="CF49" s="1">
        <v>46111.125219907408</v>
      </c>
      <c r="CG49" t="b">
        <v>0</v>
      </c>
      <c r="CH49" t="b">
        <v>0</v>
      </c>
      <c r="CI49" t="b">
        <v>0</v>
      </c>
      <c r="CJ49" t="b">
        <v>0</v>
      </c>
      <c r="CK49" t="b">
        <v>0</v>
      </c>
      <c r="CL49" t="b">
        <v>0</v>
      </c>
      <c r="CM49" t="b">
        <v>0</v>
      </c>
      <c r="CN49" t="b">
        <v>0</v>
      </c>
      <c r="CP49">
        <v>6</v>
      </c>
      <c r="CR49">
        <v>2</v>
      </c>
      <c r="CS49">
        <v>2814</v>
      </c>
      <c r="CT49">
        <v>2823</v>
      </c>
      <c r="CU49">
        <v>2827</v>
      </c>
      <c r="CZ49">
        <v>5.4</v>
      </c>
      <c r="DA49">
        <v>5.84</v>
      </c>
      <c r="DB49">
        <v>8.31</v>
      </c>
      <c r="DC49">
        <v>8.32</v>
      </c>
      <c r="DH49">
        <v>4457</v>
      </c>
      <c r="DI49">
        <v>4440</v>
      </c>
      <c r="DJ49">
        <v>416</v>
      </c>
      <c r="DK49">
        <v>417</v>
      </c>
      <c r="DP49">
        <v>4447</v>
      </c>
      <c r="DQ49">
        <v>4442</v>
      </c>
      <c r="DR49">
        <v>416</v>
      </c>
      <c r="DS49">
        <v>417</v>
      </c>
      <c r="DX49">
        <v>4441</v>
      </c>
      <c r="DY49">
        <v>4444</v>
      </c>
      <c r="DZ49">
        <v>418</v>
      </c>
      <c r="EA49">
        <v>416</v>
      </c>
      <c r="EB49" s="1">
        <v>46111.509953703702</v>
      </c>
      <c r="EG49" s="1">
        <v>46111.544317129628</v>
      </c>
      <c r="EJ49" s="1">
        <v>46111.558877314812</v>
      </c>
      <c r="EQ49">
        <v>3.73</v>
      </c>
      <c r="ER49">
        <v>10</v>
      </c>
      <c r="ES49">
        <v>3072</v>
      </c>
      <c r="ET49">
        <v>7.39</v>
      </c>
      <c r="EU49">
        <v>5</v>
      </c>
      <c r="EV49">
        <v>3049</v>
      </c>
      <c r="EW49">
        <v>0</v>
      </c>
      <c r="EX49">
        <v>0</v>
      </c>
      <c r="EY49">
        <v>2908</v>
      </c>
      <c r="EZ49">
        <v>0</v>
      </c>
      <c r="FA49">
        <v>0</v>
      </c>
      <c r="FB49">
        <v>2922</v>
      </c>
      <c r="FC49">
        <v>8.4</v>
      </c>
      <c r="FJ49" t="s">
        <v>709</v>
      </c>
      <c r="FK49">
        <v>251</v>
      </c>
      <c r="FL49" s="1">
        <v>46111.597395833334</v>
      </c>
      <c r="FM49">
        <v>88</v>
      </c>
      <c r="FN49">
        <v>7604</v>
      </c>
      <c r="FO49">
        <v>7604</v>
      </c>
      <c r="FP49">
        <v>88</v>
      </c>
      <c r="FQ49">
        <v>7604</v>
      </c>
      <c r="FR49">
        <v>7604</v>
      </c>
      <c r="FS49" t="s">
        <v>605</v>
      </c>
      <c r="FT49" t="s">
        <v>589</v>
      </c>
      <c r="FV49" t="s">
        <v>573</v>
      </c>
      <c r="FW49" t="b">
        <v>0</v>
      </c>
      <c r="GA49" t="s">
        <v>710</v>
      </c>
      <c r="GB49">
        <v>18532</v>
      </c>
      <c r="GC49" s="1">
        <v>46111.461458333331</v>
      </c>
      <c r="GD49" t="s">
        <v>590</v>
      </c>
      <c r="GE49" t="s">
        <v>672</v>
      </c>
      <c r="GF49">
        <v>80</v>
      </c>
      <c r="GG49">
        <v>107</v>
      </c>
      <c r="GH49">
        <v>69</v>
      </c>
      <c r="GI49" t="s">
        <v>565</v>
      </c>
      <c r="GJ49">
        <v>252.73</v>
      </c>
      <c r="GL49">
        <v>2369</v>
      </c>
      <c r="GN49" t="s">
        <v>673</v>
      </c>
      <c r="GP49">
        <v>2369</v>
      </c>
      <c r="GR49" t="s">
        <v>673</v>
      </c>
      <c r="HI49" s="2">
        <v>46111</v>
      </c>
      <c r="HJ49" t="s">
        <v>575</v>
      </c>
      <c r="HK49" t="s">
        <v>576</v>
      </c>
      <c r="HM49">
        <v>5</v>
      </c>
      <c r="HN49">
        <v>1</v>
      </c>
      <c r="HV49">
        <v>1</v>
      </c>
      <c r="HW49" t="b">
        <v>0</v>
      </c>
      <c r="IB49">
        <v>2880</v>
      </c>
      <c r="IJ49">
        <v>2775</v>
      </c>
      <c r="IK49">
        <v>39</v>
      </c>
      <c r="IL49">
        <v>48</v>
      </c>
      <c r="IM49">
        <v>52</v>
      </c>
      <c r="IN49" t="s">
        <v>606</v>
      </c>
      <c r="IO49" t="s">
        <v>681</v>
      </c>
      <c r="IP49" t="s">
        <v>681</v>
      </c>
      <c r="IQ49" t="s">
        <v>577</v>
      </c>
      <c r="IR49">
        <v>12</v>
      </c>
      <c r="IT49">
        <v>8986</v>
      </c>
      <c r="IV49">
        <v>28502</v>
      </c>
      <c r="IW49">
        <v>28372</v>
      </c>
      <c r="IX49">
        <v>28504</v>
      </c>
      <c r="IY49">
        <v>259.550883</v>
      </c>
      <c r="IZ49">
        <v>0</v>
      </c>
      <c r="JA49">
        <v>1.1000000000000001</v>
      </c>
      <c r="JB49">
        <v>0</v>
      </c>
      <c r="JC49">
        <v>1.2977540000000001</v>
      </c>
      <c r="JD49">
        <v>260.848637</v>
      </c>
      <c r="JE49">
        <v>261.94863700000002</v>
      </c>
      <c r="JF49">
        <v>99.084599999999995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73</v>
      </c>
      <c r="JM49">
        <v>9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9</v>
      </c>
      <c r="JU49">
        <v>0</v>
      </c>
      <c r="JV49">
        <v>0</v>
      </c>
      <c r="JW49">
        <v>519101.76791300002</v>
      </c>
      <c r="JX49">
        <v>2763</v>
      </c>
      <c r="JY49">
        <v>73.099999999999994</v>
      </c>
      <c r="JZ49">
        <v>9.0625</v>
      </c>
      <c r="KA49">
        <v>0</v>
      </c>
      <c r="KB49">
        <v>259.550883</v>
      </c>
      <c r="KC49">
        <v>1.2977540000000001</v>
      </c>
      <c r="KD49">
        <v>0</v>
      </c>
      <c r="KE49">
        <v>0</v>
      </c>
      <c r="KF49">
        <v>0</v>
      </c>
      <c r="KG49">
        <v>1.1000000000000001</v>
      </c>
      <c r="KH49">
        <v>0</v>
      </c>
      <c r="KI49">
        <v>0</v>
      </c>
      <c r="KJ49">
        <v>7604</v>
      </c>
      <c r="KK49">
        <v>0.28360000000000002</v>
      </c>
      <c r="KL49">
        <v>28502</v>
      </c>
      <c r="KM49">
        <v>277200</v>
      </c>
      <c r="KN49">
        <v>47140</v>
      </c>
      <c r="KP49">
        <v>87160</v>
      </c>
      <c r="KW49">
        <v>46420</v>
      </c>
      <c r="KX49">
        <v>30120</v>
      </c>
      <c r="LV49">
        <v>43920</v>
      </c>
      <c r="MD49">
        <v>44300</v>
      </c>
      <c r="MP49">
        <v>170998</v>
      </c>
      <c r="MQ49">
        <v>45599</v>
      </c>
      <c r="MS49">
        <v>162916</v>
      </c>
      <c r="MZ49">
        <v>45599</v>
      </c>
      <c r="NP49">
        <v>28499</v>
      </c>
      <c r="NY49">
        <v>39899</v>
      </c>
      <c r="OG49">
        <v>45599</v>
      </c>
      <c r="OT49">
        <v>1974</v>
      </c>
      <c r="PA49">
        <v>578</v>
      </c>
      <c r="PB49">
        <v>3886</v>
      </c>
      <c r="PC49">
        <v>410506</v>
      </c>
      <c r="PD49">
        <v>41276</v>
      </c>
      <c r="PE49">
        <v>9946</v>
      </c>
      <c r="PG49">
        <v>2</v>
      </c>
      <c r="PJ49">
        <v>15090</v>
      </c>
      <c r="PM49">
        <v>15829</v>
      </c>
      <c r="PS49">
        <v>500</v>
      </c>
      <c r="PV49">
        <v>3244</v>
      </c>
      <c r="PW49">
        <v>6187</v>
      </c>
      <c r="PX49">
        <v>1000</v>
      </c>
      <c r="PY49">
        <v>506</v>
      </c>
      <c r="QA49">
        <v>4012</v>
      </c>
      <c r="QD49">
        <v>400</v>
      </c>
      <c r="QE49">
        <v>849</v>
      </c>
      <c r="QG49">
        <v>300</v>
      </c>
      <c r="QK49">
        <v>6</v>
      </c>
      <c r="QM49">
        <v>7</v>
      </c>
      <c r="QS49">
        <v>1000</v>
      </c>
      <c r="SE49" s="1">
        <v>46086.322222222225</v>
      </c>
      <c r="SF49">
        <v>28502</v>
      </c>
      <c r="SG49">
        <v>409267</v>
      </c>
      <c r="SH49">
        <v>20</v>
      </c>
      <c r="SI49" t="s">
        <v>567</v>
      </c>
      <c r="SJ49">
        <v>50</v>
      </c>
      <c r="SK49" s="1">
        <v>46111.502268518518</v>
      </c>
      <c r="SZ49">
        <v>7.0000000000000007E-2</v>
      </c>
      <c r="TA49">
        <v>0.94499999999999995</v>
      </c>
      <c r="TB49">
        <v>7.1000000000000004E-3</v>
      </c>
      <c r="TC49">
        <v>2.3E-3</v>
      </c>
      <c r="TD49">
        <v>0.16900000000000001</v>
      </c>
      <c r="TE49">
        <v>0.11</v>
      </c>
      <c r="TF49">
        <v>0.04</v>
      </c>
      <c r="TG49">
        <v>7.3999999999999996E-2</v>
      </c>
      <c r="TH49">
        <v>0.02</v>
      </c>
      <c r="TI49">
        <v>2.8000000000000001E-2</v>
      </c>
      <c r="TJ49">
        <v>8.0000000000000002E-3</v>
      </c>
      <c r="TK49">
        <v>3.3294100000000002</v>
      </c>
      <c r="TL49">
        <v>3.0000000000000001E-3</v>
      </c>
      <c r="TM49">
        <v>2.86E-2</v>
      </c>
      <c r="TN49">
        <v>1.6000000000000001E-3</v>
      </c>
      <c r="TO49">
        <v>2.1100000000000001E-2</v>
      </c>
      <c r="TQ49">
        <v>8.5000000000000006E-3</v>
      </c>
      <c r="TR49">
        <v>5.0000000000000001E-4</v>
      </c>
      <c r="TS49" t="s">
        <v>578</v>
      </c>
      <c r="TU49">
        <v>0.1356</v>
      </c>
      <c r="TV49">
        <v>4.1000000000000003E-3</v>
      </c>
      <c r="UD49">
        <v>0.25</v>
      </c>
      <c r="UE49">
        <v>0.28029999999999999</v>
      </c>
      <c r="UF49">
        <v>2.48</v>
      </c>
      <c r="UH49">
        <v>2.4000000000000001E-4</v>
      </c>
      <c r="UJ49">
        <v>0.2752</v>
      </c>
      <c r="UK49">
        <v>0.17</v>
      </c>
      <c r="UL49">
        <v>0.22</v>
      </c>
      <c r="UM49">
        <v>5.2699999999999997E-2</v>
      </c>
      <c r="UN49">
        <v>0.24399999999999999</v>
      </c>
      <c r="UO49">
        <v>3.1025999999999998</v>
      </c>
      <c r="UP49">
        <v>1.49</v>
      </c>
      <c r="UQ49">
        <v>0.67</v>
      </c>
      <c r="UR49" s="1">
        <v>46086.322222222225</v>
      </c>
    </row>
    <row r="50" spans="1:564" x14ac:dyDescent="0.35">
      <c r="A50">
        <v>28503</v>
      </c>
      <c r="B50">
        <v>18533</v>
      </c>
      <c r="C50">
        <v>850</v>
      </c>
      <c r="D50">
        <v>26138</v>
      </c>
      <c r="G50" t="s">
        <v>602</v>
      </c>
      <c r="H50">
        <v>500000</v>
      </c>
      <c r="L50" t="s">
        <v>586</v>
      </c>
      <c r="M50">
        <v>73</v>
      </c>
      <c r="N50">
        <v>307</v>
      </c>
      <c r="O50" t="s">
        <v>603</v>
      </c>
      <c r="P50">
        <v>4</v>
      </c>
      <c r="S50" s="1">
        <v>46111.370034722226</v>
      </c>
      <c r="U50">
        <v>66</v>
      </c>
      <c r="W50">
        <v>35</v>
      </c>
      <c r="X50">
        <v>495910</v>
      </c>
      <c r="Y50" s="1">
        <v>46111.440844907411</v>
      </c>
      <c r="AB50">
        <v>79715</v>
      </c>
      <c r="AC50">
        <v>317</v>
      </c>
      <c r="AD50">
        <v>1125</v>
      </c>
      <c r="AE50">
        <v>178580</v>
      </c>
      <c r="AF50">
        <v>0.05</v>
      </c>
      <c r="AG50">
        <v>713</v>
      </c>
      <c r="AH50">
        <v>2917</v>
      </c>
      <c r="AI50">
        <v>0.04</v>
      </c>
      <c r="AJ50">
        <v>841</v>
      </c>
      <c r="AK50">
        <v>2930</v>
      </c>
      <c r="AL50">
        <v>27</v>
      </c>
      <c r="AM50" t="s">
        <v>713</v>
      </c>
      <c r="AO50" s="1">
        <v>46111.597650462965</v>
      </c>
      <c r="AP50">
        <v>1</v>
      </c>
      <c r="AS50" s="1">
        <v>46111.441296296296</v>
      </c>
      <c r="AT50" s="1">
        <v>46111.497997685183</v>
      </c>
      <c r="AU50">
        <v>13</v>
      </c>
      <c r="AV50">
        <v>67</v>
      </c>
      <c r="AY50">
        <v>503120</v>
      </c>
      <c r="AZ50">
        <v>491359</v>
      </c>
      <c r="BA50">
        <v>1310</v>
      </c>
      <c r="BB50">
        <v>2940</v>
      </c>
      <c r="BC50">
        <v>2881</v>
      </c>
      <c r="BD50">
        <v>0</v>
      </c>
      <c r="BG50" s="1">
        <v>46111.498611111114</v>
      </c>
      <c r="BH50" s="1">
        <v>46111.507210648146</v>
      </c>
      <c r="BI50" s="1">
        <v>46111.544340277775</v>
      </c>
      <c r="BJ50" s="1">
        <v>46111.58834490741</v>
      </c>
      <c r="BK50">
        <v>1.1000000000000001</v>
      </c>
      <c r="BM50">
        <v>4126</v>
      </c>
      <c r="BS50" t="s">
        <v>613</v>
      </c>
      <c r="BT50" s="1">
        <v>46111.511377314811</v>
      </c>
      <c r="BU50" s="1">
        <v>46111.555821759262</v>
      </c>
      <c r="BV50" t="b">
        <v>0</v>
      </c>
      <c r="BX50">
        <v>2</v>
      </c>
      <c r="BY50" t="b">
        <v>0</v>
      </c>
      <c r="CD50">
        <v>1.1000000000000001</v>
      </c>
      <c r="CF50" s="1">
        <v>46111.125347222223</v>
      </c>
      <c r="CG50" t="b">
        <v>0</v>
      </c>
      <c r="CH50" t="b">
        <v>0</v>
      </c>
      <c r="CI50" t="b">
        <v>0</v>
      </c>
      <c r="CJ50" t="b">
        <v>0</v>
      </c>
      <c r="CK50" t="b">
        <v>0</v>
      </c>
      <c r="CL50" t="b">
        <v>0</v>
      </c>
      <c r="CM50" t="b">
        <v>0</v>
      </c>
      <c r="CN50" t="b">
        <v>0</v>
      </c>
      <c r="CP50">
        <v>6</v>
      </c>
      <c r="CR50">
        <v>2</v>
      </c>
      <c r="CS50">
        <v>2822</v>
      </c>
      <c r="CT50">
        <v>2820</v>
      </c>
      <c r="CU50">
        <v>2832</v>
      </c>
      <c r="CZ50">
        <v>5.35</v>
      </c>
      <c r="DA50">
        <v>5.3</v>
      </c>
      <c r="DB50">
        <v>7.65</v>
      </c>
      <c r="DC50">
        <v>8.2100000000000009</v>
      </c>
      <c r="DH50">
        <v>4445</v>
      </c>
      <c r="DI50">
        <v>4455</v>
      </c>
      <c r="DJ50">
        <v>418</v>
      </c>
      <c r="DK50">
        <v>417</v>
      </c>
      <c r="DP50">
        <v>4481</v>
      </c>
      <c r="DQ50">
        <v>4445</v>
      </c>
      <c r="DR50">
        <v>415</v>
      </c>
      <c r="DS50">
        <v>417</v>
      </c>
      <c r="DX50">
        <v>4442</v>
      </c>
      <c r="DY50">
        <v>4459</v>
      </c>
      <c r="DZ50">
        <v>416</v>
      </c>
      <c r="EA50">
        <v>416</v>
      </c>
      <c r="EB50" s="1">
        <v>46111.556168981479</v>
      </c>
      <c r="EG50" s="1">
        <v>46111.58834490741</v>
      </c>
      <c r="EJ50" s="1">
        <v>46111.600590277776</v>
      </c>
      <c r="EK50">
        <v>0.03</v>
      </c>
      <c r="EL50">
        <v>1069</v>
      </c>
      <c r="EM50">
        <v>2991</v>
      </c>
      <c r="EQ50">
        <v>7.03</v>
      </c>
      <c r="ER50">
        <v>5</v>
      </c>
      <c r="ES50">
        <v>2940</v>
      </c>
      <c r="ET50">
        <v>0</v>
      </c>
      <c r="EU50">
        <v>0</v>
      </c>
      <c r="EV50">
        <v>2879</v>
      </c>
      <c r="EW50">
        <v>0</v>
      </c>
      <c r="EX50">
        <v>0</v>
      </c>
      <c r="EY50">
        <v>2899</v>
      </c>
      <c r="EZ50">
        <v>0</v>
      </c>
      <c r="FA50">
        <v>0</v>
      </c>
      <c r="FB50">
        <v>2892</v>
      </c>
      <c r="FC50">
        <v>7.6</v>
      </c>
      <c r="FJ50" t="s">
        <v>714</v>
      </c>
      <c r="FK50">
        <v>251</v>
      </c>
      <c r="FL50" s="1">
        <v>46111.600381944445</v>
      </c>
      <c r="FM50">
        <v>88</v>
      </c>
      <c r="FN50">
        <v>7604</v>
      </c>
      <c r="FO50">
        <v>7604</v>
      </c>
      <c r="FP50">
        <v>88</v>
      </c>
      <c r="FQ50">
        <v>7604</v>
      </c>
      <c r="FR50">
        <v>7604</v>
      </c>
      <c r="FS50" t="s">
        <v>605</v>
      </c>
      <c r="FV50" t="s">
        <v>573</v>
      </c>
      <c r="FW50" t="b">
        <v>0</v>
      </c>
      <c r="GA50" t="s">
        <v>715</v>
      </c>
      <c r="GB50">
        <v>18533</v>
      </c>
      <c r="GC50" s="1">
        <v>46111.511377314811</v>
      </c>
      <c r="GD50" t="s">
        <v>590</v>
      </c>
      <c r="GE50" t="s">
        <v>672</v>
      </c>
      <c r="GF50">
        <v>102</v>
      </c>
      <c r="GG50">
        <v>82</v>
      </c>
      <c r="GH50">
        <v>64</v>
      </c>
      <c r="GI50" t="s">
        <v>574</v>
      </c>
      <c r="GJ50">
        <v>247.96</v>
      </c>
      <c r="GL50">
        <v>2369</v>
      </c>
      <c r="GN50" t="s">
        <v>673</v>
      </c>
      <c r="GP50">
        <v>2369</v>
      </c>
      <c r="GR50" t="s">
        <v>673</v>
      </c>
      <c r="HI50" s="2">
        <v>46111</v>
      </c>
      <c r="HJ50" t="s">
        <v>575</v>
      </c>
      <c r="HK50" t="s">
        <v>576</v>
      </c>
      <c r="HM50">
        <v>6</v>
      </c>
      <c r="HN50">
        <v>1</v>
      </c>
      <c r="HV50">
        <v>1</v>
      </c>
      <c r="HW50" t="b">
        <v>0</v>
      </c>
      <c r="IB50">
        <v>2875</v>
      </c>
      <c r="IJ50">
        <v>2775</v>
      </c>
      <c r="IK50">
        <v>47</v>
      </c>
      <c r="IL50">
        <v>45</v>
      </c>
      <c r="IM50">
        <v>57</v>
      </c>
      <c r="IN50" t="s">
        <v>606</v>
      </c>
      <c r="IO50" t="s">
        <v>607</v>
      </c>
      <c r="IP50" t="s">
        <v>607</v>
      </c>
      <c r="IQ50" t="s">
        <v>577</v>
      </c>
      <c r="IT50">
        <v>8986</v>
      </c>
      <c r="IV50">
        <v>28503</v>
      </c>
      <c r="IW50">
        <v>28372</v>
      </c>
      <c r="IX50">
        <v>28504</v>
      </c>
      <c r="IY50">
        <v>259.550883</v>
      </c>
      <c r="IZ50">
        <v>0</v>
      </c>
      <c r="JA50">
        <v>1.1000000000000001</v>
      </c>
      <c r="JB50">
        <v>0</v>
      </c>
      <c r="JC50">
        <v>1.2977540000000001</v>
      </c>
      <c r="JD50">
        <v>260.848637</v>
      </c>
      <c r="JE50">
        <v>261.94863700000002</v>
      </c>
      <c r="JF50">
        <v>99.084599999999995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73</v>
      </c>
      <c r="JM50">
        <v>9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9</v>
      </c>
      <c r="JU50">
        <v>0</v>
      </c>
      <c r="JV50">
        <v>0</v>
      </c>
      <c r="JW50">
        <v>519101.76791300002</v>
      </c>
      <c r="JX50">
        <v>2763</v>
      </c>
      <c r="JY50">
        <v>73.099999999999994</v>
      </c>
      <c r="JZ50">
        <v>9.0625</v>
      </c>
      <c r="KA50">
        <v>0</v>
      </c>
      <c r="KB50">
        <v>259.550883</v>
      </c>
      <c r="KC50">
        <v>1.2977540000000001</v>
      </c>
      <c r="KD50">
        <v>0</v>
      </c>
      <c r="KE50">
        <v>0</v>
      </c>
      <c r="KF50">
        <v>0</v>
      </c>
      <c r="KG50">
        <v>1.1000000000000001</v>
      </c>
      <c r="KH50">
        <v>0</v>
      </c>
      <c r="KI50">
        <v>0</v>
      </c>
      <c r="KJ50">
        <v>7604</v>
      </c>
      <c r="KK50">
        <v>0.28360000000000002</v>
      </c>
      <c r="KL50">
        <v>28503</v>
      </c>
      <c r="KM50">
        <v>193540</v>
      </c>
      <c r="KN50">
        <v>45560</v>
      </c>
      <c r="KP50">
        <v>164080</v>
      </c>
      <c r="KW50">
        <v>45580</v>
      </c>
      <c r="KX50">
        <v>28700</v>
      </c>
      <c r="LV50">
        <v>36220</v>
      </c>
      <c r="MD50">
        <v>44240</v>
      </c>
      <c r="MP50">
        <v>165371</v>
      </c>
      <c r="MQ50">
        <v>44099</v>
      </c>
      <c r="MS50">
        <v>121272</v>
      </c>
      <c r="MZ50">
        <v>44099</v>
      </c>
      <c r="NP50">
        <v>27561</v>
      </c>
      <c r="NY50">
        <v>24421</v>
      </c>
      <c r="OG50">
        <v>44099</v>
      </c>
      <c r="OT50">
        <v>1126</v>
      </c>
      <c r="PA50">
        <v>648</v>
      </c>
      <c r="PB50">
        <v>3981</v>
      </c>
      <c r="PC50">
        <v>397148</v>
      </c>
      <c r="PD50">
        <v>43942</v>
      </c>
      <c r="PE50">
        <v>8182</v>
      </c>
      <c r="PG50">
        <v>3</v>
      </c>
      <c r="PJ50">
        <v>14418</v>
      </c>
      <c r="PM50">
        <v>12838</v>
      </c>
      <c r="PS50">
        <v>500</v>
      </c>
      <c r="PV50">
        <v>1509</v>
      </c>
      <c r="PW50">
        <v>5486</v>
      </c>
      <c r="PX50">
        <v>434</v>
      </c>
      <c r="PY50">
        <v>414</v>
      </c>
      <c r="QA50">
        <v>4498</v>
      </c>
      <c r="QE50">
        <v>849</v>
      </c>
      <c r="QG50">
        <v>449</v>
      </c>
      <c r="QK50">
        <v>5</v>
      </c>
      <c r="QM50">
        <v>8</v>
      </c>
      <c r="QN50">
        <v>220</v>
      </c>
      <c r="QS50">
        <v>766</v>
      </c>
      <c r="SE50" s="1">
        <v>46086.322222222225</v>
      </c>
      <c r="SF50">
        <v>28503</v>
      </c>
      <c r="SG50">
        <v>409289</v>
      </c>
      <c r="SH50">
        <v>20</v>
      </c>
      <c r="SI50" t="s">
        <v>567</v>
      </c>
      <c r="SJ50">
        <v>50</v>
      </c>
      <c r="SK50" s="1">
        <v>46111.562326388892</v>
      </c>
      <c r="SZ50">
        <v>6.8000000000000005E-2</v>
      </c>
      <c r="TA50">
        <v>0.93400000000000005</v>
      </c>
      <c r="TB50">
        <v>5.5999999999999999E-3</v>
      </c>
      <c r="TC50">
        <v>2.8E-3</v>
      </c>
      <c r="TD50">
        <v>0.16300000000000001</v>
      </c>
      <c r="TE50">
        <v>0.114</v>
      </c>
      <c r="TF50">
        <v>3.5000000000000003E-2</v>
      </c>
      <c r="TG50">
        <v>6.3E-2</v>
      </c>
      <c r="TH50">
        <v>1.9E-2</v>
      </c>
      <c r="TI50">
        <v>3.1E-2</v>
      </c>
      <c r="TJ50">
        <v>8.0000000000000002E-3</v>
      </c>
      <c r="TK50">
        <v>3.7926799999999998</v>
      </c>
      <c r="TL50">
        <v>3.0000000000000001E-3</v>
      </c>
      <c r="TM50">
        <v>2.6700000000000002E-2</v>
      </c>
      <c r="TN50">
        <v>2.0999999999999999E-3</v>
      </c>
      <c r="TO50">
        <v>2.29E-2</v>
      </c>
      <c r="TQ50">
        <v>8.2000000000000007E-3</v>
      </c>
      <c r="TR50">
        <v>4.0000000000000002E-4</v>
      </c>
      <c r="TS50" t="s">
        <v>578</v>
      </c>
      <c r="TU50">
        <v>0.13200000000000001</v>
      </c>
      <c r="TV50">
        <v>4.1999999999999997E-3</v>
      </c>
      <c r="UD50">
        <v>0.25</v>
      </c>
      <c r="UE50">
        <v>0.27379999999999999</v>
      </c>
      <c r="UF50">
        <v>2.79</v>
      </c>
      <c r="UH50">
        <v>2.5999999999999998E-4</v>
      </c>
      <c r="UJ50">
        <v>0.26469999999999999</v>
      </c>
      <c r="UK50">
        <v>0.18</v>
      </c>
      <c r="UL50">
        <v>0.21</v>
      </c>
      <c r="UM50">
        <v>5.2600000000000001E-2</v>
      </c>
      <c r="UN50">
        <v>0.23100000000000001</v>
      </c>
      <c r="UO50">
        <v>3.1017000000000001</v>
      </c>
      <c r="UP50">
        <v>1.81</v>
      </c>
      <c r="UQ50">
        <v>0.55000000000000004</v>
      </c>
      <c r="UR50" s="1">
        <v>46086.322222222225</v>
      </c>
    </row>
    <row r="51" spans="1:564" x14ac:dyDescent="0.35">
      <c r="A51">
        <v>28504</v>
      </c>
      <c r="B51">
        <v>18534</v>
      </c>
      <c r="C51">
        <v>850</v>
      </c>
      <c r="D51">
        <v>26138</v>
      </c>
      <c r="G51" t="s">
        <v>602</v>
      </c>
      <c r="H51">
        <v>500000</v>
      </c>
      <c r="L51" t="s">
        <v>586</v>
      </c>
      <c r="M51">
        <v>73</v>
      </c>
      <c r="N51">
        <v>307</v>
      </c>
      <c r="O51" t="s">
        <v>603</v>
      </c>
      <c r="P51">
        <v>5</v>
      </c>
      <c r="S51" s="1">
        <v>46111.440844907411</v>
      </c>
      <c r="U51">
        <v>59</v>
      </c>
      <c r="W51">
        <v>19</v>
      </c>
      <c r="X51">
        <v>495910</v>
      </c>
      <c r="Y51" s="1">
        <v>46111.495752314811</v>
      </c>
      <c r="AB51">
        <v>74434</v>
      </c>
      <c r="AC51">
        <v>318</v>
      </c>
      <c r="AD51">
        <v>1126</v>
      </c>
      <c r="AE51">
        <v>126984</v>
      </c>
      <c r="AF51">
        <v>0.04</v>
      </c>
      <c r="AG51">
        <v>931</v>
      </c>
      <c r="AH51">
        <v>2968</v>
      </c>
      <c r="AI51">
        <v>0.04</v>
      </c>
      <c r="AJ51">
        <v>953</v>
      </c>
      <c r="AK51">
        <v>3045</v>
      </c>
      <c r="AL51">
        <v>11</v>
      </c>
      <c r="AM51" t="s">
        <v>736</v>
      </c>
      <c r="AO51" s="1">
        <v>46111.500891203701</v>
      </c>
      <c r="AP51">
        <v>2</v>
      </c>
      <c r="AS51" s="1">
        <v>46111.500787037039</v>
      </c>
      <c r="AT51" s="1">
        <v>46111.545324074075</v>
      </c>
      <c r="AU51">
        <v>6</v>
      </c>
      <c r="AV51">
        <v>32</v>
      </c>
      <c r="AY51">
        <v>484440</v>
      </c>
      <c r="AZ51">
        <v>475801</v>
      </c>
      <c r="BA51">
        <v>9720</v>
      </c>
      <c r="BB51">
        <v>3018</v>
      </c>
      <c r="BC51">
        <v>2872</v>
      </c>
      <c r="BD51">
        <v>0</v>
      </c>
      <c r="BG51" s="1">
        <v>46111.546539351853</v>
      </c>
      <c r="BH51" s="1">
        <v>46111.552708333336</v>
      </c>
      <c r="BI51" s="1">
        <v>46111.588368055556</v>
      </c>
      <c r="BJ51" s="1">
        <v>46111.642071759263</v>
      </c>
      <c r="BK51">
        <v>1.1000000000000001</v>
      </c>
      <c r="BL51">
        <v>8</v>
      </c>
      <c r="BM51">
        <v>4126</v>
      </c>
      <c r="BS51" t="s">
        <v>676</v>
      </c>
      <c r="BT51" s="1">
        <v>46111.557569444441</v>
      </c>
      <c r="BU51" s="1">
        <v>46111.600624999999</v>
      </c>
      <c r="BV51" t="b">
        <v>0</v>
      </c>
      <c r="BX51">
        <v>2</v>
      </c>
      <c r="BY51" t="b">
        <v>0</v>
      </c>
      <c r="CD51">
        <v>1.1000000000000001</v>
      </c>
      <c r="CF51" s="1">
        <v>46111.1252662037</v>
      </c>
      <c r="CG51" t="b">
        <v>0</v>
      </c>
      <c r="CH51" t="b">
        <v>0</v>
      </c>
      <c r="CI51" t="b">
        <v>0</v>
      </c>
      <c r="CJ51" t="b">
        <v>0</v>
      </c>
      <c r="CK51" t="b">
        <v>0</v>
      </c>
      <c r="CL51" t="b">
        <v>0</v>
      </c>
      <c r="CM51" t="b">
        <v>0</v>
      </c>
      <c r="CN51" t="b">
        <v>0</v>
      </c>
      <c r="CP51">
        <v>6</v>
      </c>
      <c r="CR51">
        <v>2</v>
      </c>
      <c r="CS51">
        <v>2823</v>
      </c>
      <c r="CT51">
        <v>2823</v>
      </c>
      <c r="CU51">
        <v>2817</v>
      </c>
      <c r="CZ51">
        <v>6.25</v>
      </c>
      <c r="DA51">
        <v>6.04</v>
      </c>
      <c r="DB51">
        <v>8.9700000000000006</v>
      </c>
      <c r="DC51">
        <v>9.27</v>
      </c>
      <c r="DH51">
        <v>4436</v>
      </c>
      <c r="DI51">
        <v>4460</v>
      </c>
      <c r="DJ51">
        <v>417</v>
      </c>
      <c r="DK51">
        <v>415</v>
      </c>
      <c r="DP51">
        <v>4469</v>
      </c>
      <c r="DQ51">
        <v>4450</v>
      </c>
      <c r="DR51">
        <v>415</v>
      </c>
      <c r="DS51">
        <v>415</v>
      </c>
      <c r="DX51">
        <v>4443</v>
      </c>
      <c r="DY51">
        <v>4447</v>
      </c>
      <c r="DZ51">
        <v>417</v>
      </c>
      <c r="EA51">
        <v>417</v>
      </c>
      <c r="EB51" s="1">
        <v>46111.614131944443</v>
      </c>
      <c r="EF51">
        <v>152</v>
      </c>
      <c r="EG51" s="1">
        <v>46111.642071759263</v>
      </c>
      <c r="EJ51" s="1">
        <v>46111.959421296298</v>
      </c>
      <c r="EQ51">
        <v>3.65</v>
      </c>
      <c r="ER51">
        <v>10</v>
      </c>
      <c r="ES51">
        <v>3018</v>
      </c>
      <c r="ET51">
        <v>0</v>
      </c>
      <c r="EU51">
        <v>0</v>
      </c>
      <c r="EV51">
        <v>3000</v>
      </c>
      <c r="EW51">
        <v>7.22</v>
      </c>
      <c r="EX51">
        <v>5</v>
      </c>
      <c r="EY51">
        <v>2996</v>
      </c>
      <c r="EZ51">
        <v>0</v>
      </c>
      <c r="FA51">
        <v>0</v>
      </c>
      <c r="FB51">
        <v>2883</v>
      </c>
      <c r="FC51">
        <v>8.8000000000000007</v>
      </c>
      <c r="FJ51" t="s">
        <v>737</v>
      </c>
      <c r="FK51">
        <v>97</v>
      </c>
      <c r="FL51" s="1">
        <v>46111.665925925925</v>
      </c>
      <c r="FM51">
        <v>88</v>
      </c>
      <c r="FN51">
        <v>7604</v>
      </c>
      <c r="FO51">
        <v>7604</v>
      </c>
      <c r="FP51">
        <v>88</v>
      </c>
      <c r="FQ51">
        <v>7604</v>
      </c>
      <c r="FR51">
        <v>7604</v>
      </c>
      <c r="FS51" t="s">
        <v>605</v>
      </c>
      <c r="FT51" t="s">
        <v>666</v>
      </c>
      <c r="FV51" t="s">
        <v>573</v>
      </c>
      <c r="FW51" t="b">
        <v>0</v>
      </c>
      <c r="GA51" t="s">
        <v>738</v>
      </c>
      <c r="GB51">
        <v>18534</v>
      </c>
      <c r="GC51" s="1">
        <v>46111.557569444441</v>
      </c>
      <c r="GD51" t="s">
        <v>590</v>
      </c>
      <c r="GE51" t="s">
        <v>672</v>
      </c>
      <c r="GF51">
        <v>79</v>
      </c>
      <c r="GG51">
        <v>64</v>
      </c>
      <c r="GH51">
        <v>77</v>
      </c>
      <c r="GI51" t="s">
        <v>565</v>
      </c>
      <c r="GJ51">
        <v>247.96</v>
      </c>
      <c r="GL51">
        <v>2369</v>
      </c>
      <c r="GN51" t="s">
        <v>673</v>
      </c>
      <c r="GP51">
        <v>2369</v>
      </c>
      <c r="GR51" t="s">
        <v>673</v>
      </c>
      <c r="GT51">
        <v>1891</v>
      </c>
      <c r="GV51">
        <v>10.1</v>
      </c>
      <c r="GX51">
        <v>10.4</v>
      </c>
      <c r="GZ51">
        <v>9.3000000000000007</v>
      </c>
      <c r="HB51">
        <v>9.6</v>
      </c>
      <c r="HD51">
        <v>72.88</v>
      </c>
      <c r="HF51">
        <v>73</v>
      </c>
      <c r="HI51" s="2">
        <v>46111</v>
      </c>
      <c r="HJ51" t="s">
        <v>575</v>
      </c>
      <c r="HK51" t="s">
        <v>576</v>
      </c>
      <c r="HM51">
        <v>7</v>
      </c>
      <c r="HN51">
        <v>1</v>
      </c>
      <c r="HV51">
        <v>1</v>
      </c>
      <c r="HW51" t="b">
        <v>1</v>
      </c>
      <c r="HX51" s="1">
        <v>46111.607766203706</v>
      </c>
      <c r="HY51" t="b">
        <v>0</v>
      </c>
      <c r="IB51">
        <v>2870</v>
      </c>
      <c r="IJ51">
        <v>2775</v>
      </c>
      <c r="IK51">
        <v>48</v>
      </c>
      <c r="IL51">
        <v>48</v>
      </c>
      <c r="IM51">
        <v>42</v>
      </c>
      <c r="IN51" t="s">
        <v>606</v>
      </c>
      <c r="IO51" t="s">
        <v>607</v>
      </c>
      <c r="IP51" t="s">
        <v>607</v>
      </c>
      <c r="IQ51" t="s">
        <v>577</v>
      </c>
      <c r="IR51">
        <v>11</v>
      </c>
      <c r="IT51">
        <v>8986</v>
      </c>
      <c r="IU51" s="1">
        <v>46111.638090277775</v>
      </c>
      <c r="IV51">
        <v>28504</v>
      </c>
      <c r="IW51">
        <v>28372</v>
      </c>
      <c r="IX51">
        <v>28504</v>
      </c>
      <c r="IY51">
        <v>231.27552499999999</v>
      </c>
      <c r="IZ51">
        <v>14.278586000000001</v>
      </c>
      <c r="JA51">
        <v>9.1</v>
      </c>
      <c r="JB51">
        <v>0</v>
      </c>
      <c r="JC51">
        <v>1.22777</v>
      </c>
      <c r="JD51">
        <v>246.781881</v>
      </c>
      <c r="JE51">
        <v>255.88188099999999</v>
      </c>
      <c r="JF51">
        <v>90.383700000000005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73</v>
      </c>
      <c r="JM51">
        <v>9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8</v>
      </c>
      <c r="JU51">
        <v>0</v>
      </c>
      <c r="JV51">
        <v>152</v>
      </c>
      <c r="JW51">
        <v>462551.05052500003</v>
      </c>
      <c r="JX51">
        <v>2462</v>
      </c>
      <c r="JY51">
        <v>73.099999999999994</v>
      </c>
      <c r="JZ51">
        <v>9.0625</v>
      </c>
      <c r="KA51">
        <v>152</v>
      </c>
      <c r="KB51">
        <v>231.27552499999999</v>
      </c>
      <c r="KC51">
        <v>1.22777</v>
      </c>
      <c r="KD51">
        <v>14.278586000000001</v>
      </c>
      <c r="KE51">
        <v>0</v>
      </c>
      <c r="KF51">
        <v>28557.172900000001</v>
      </c>
      <c r="KG51">
        <v>1.1000000000000001</v>
      </c>
      <c r="KH51">
        <v>8</v>
      </c>
      <c r="KI51">
        <v>0</v>
      </c>
      <c r="KJ51">
        <v>7604</v>
      </c>
      <c r="KK51">
        <v>0.28360000000000002</v>
      </c>
      <c r="KL51">
        <v>28504</v>
      </c>
      <c r="KM51">
        <v>180518</v>
      </c>
      <c r="KN51">
        <v>47247</v>
      </c>
      <c r="KP51">
        <v>180043</v>
      </c>
      <c r="KW51">
        <v>47697</v>
      </c>
      <c r="KX51">
        <v>26734</v>
      </c>
      <c r="LV51">
        <v>36978</v>
      </c>
      <c r="MD51">
        <v>43724</v>
      </c>
      <c r="MP51">
        <v>131998</v>
      </c>
      <c r="MQ51">
        <v>35199</v>
      </c>
      <c r="MS51">
        <v>145914</v>
      </c>
      <c r="MZ51">
        <v>35199</v>
      </c>
      <c r="NP51">
        <v>21999</v>
      </c>
      <c r="NY51">
        <v>30799</v>
      </c>
      <c r="OG51">
        <v>35199</v>
      </c>
      <c r="OT51">
        <v>3814</v>
      </c>
      <c r="PA51">
        <v>675</v>
      </c>
      <c r="PB51">
        <v>3817</v>
      </c>
      <c r="PC51">
        <v>318885</v>
      </c>
      <c r="PD51">
        <v>33594</v>
      </c>
      <c r="PE51">
        <v>7059</v>
      </c>
      <c r="PG51">
        <v>2</v>
      </c>
      <c r="PJ51">
        <v>15393</v>
      </c>
      <c r="PM51">
        <v>10181</v>
      </c>
      <c r="PW51">
        <v>4961</v>
      </c>
      <c r="PX51">
        <v>709</v>
      </c>
      <c r="PY51">
        <v>588</v>
      </c>
      <c r="QA51">
        <v>1507</v>
      </c>
      <c r="QD51">
        <v>799</v>
      </c>
      <c r="QE51">
        <v>849</v>
      </c>
      <c r="QG51">
        <v>297</v>
      </c>
      <c r="QK51">
        <v>8</v>
      </c>
      <c r="QM51">
        <v>6</v>
      </c>
      <c r="QN51">
        <v>207</v>
      </c>
      <c r="QS51">
        <v>797</v>
      </c>
      <c r="SE51" s="1">
        <v>46086.322222222225</v>
      </c>
      <c r="SF51">
        <v>28504</v>
      </c>
      <c r="SG51">
        <v>409297</v>
      </c>
      <c r="SH51">
        <v>20</v>
      </c>
      <c r="SI51" t="s">
        <v>567</v>
      </c>
      <c r="SJ51">
        <v>50</v>
      </c>
      <c r="SK51" s="1">
        <v>46111.61791666667</v>
      </c>
      <c r="SZ51">
        <v>7.1999999999999995E-2</v>
      </c>
      <c r="TA51">
        <v>0.90300000000000002</v>
      </c>
      <c r="TB51">
        <v>8.3999999999999995E-3</v>
      </c>
      <c r="TC51">
        <v>2.0999999999999999E-3</v>
      </c>
      <c r="TD51">
        <v>0.182</v>
      </c>
      <c r="TE51">
        <v>0.115</v>
      </c>
      <c r="TF51">
        <v>0.05</v>
      </c>
      <c r="TG51">
        <v>5.8999999999999997E-2</v>
      </c>
      <c r="TH51">
        <v>1.9E-2</v>
      </c>
      <c r="TI51">
        <v>2.8000000000000001E-2</v>
      </c>
      <c r="TJ51">
        <v>8.9999999999999993E-3</v>
      </c>
      <c r="TK51">
        <v>4.1176500000000003</v>
      </c>
      <c r="TL51">
        <v>3.0000000000000001E-3</v>
      </c>
      <c r="TM51">
        <v>2.7099999999999999E-2</v>
      </c>
      <c r="TN51">
        <v>1.6999999999999999E-3</v>
      </c>
      <c r="TO51">
        <v>2.1499999999999998E-2</v>
      </c>
      <c r="TQ51">
        <v>6.7999999999999996E-3</v>
      </c>
      <c r="TR51">
        <v>5.9999999999999995E-4</v>
      </c>
      <c r="TS51" t="s">
        <v>578</v>
      </c>
      <c r="TU51">
        <v>0.13689999999999999</v>
      </c>
      <c r="TV51">
        <v>4.0000000000000001E-3</v>
      </c>
      <c r="UD51">
        <v>0.25</v>
      </c>
      <c r="UE51">
        <v>0.2787</v>
      </c>
      <c r="UF51">
        <v>3.16</v>
      </c>
      <c r="UH51">
        <v>1.9000000000000001E-4</v>
      </c>
      <c r="UJ51">
        <v>0.27629999999999999</v>
      </c>
      <c r="UK51">
        <v>0.19</v>
      </c>
      <c r="UL51">
        <v>0.22</v>
      </c>
      <c r="UM51">
        <v>5.16E-2</v>
      </c>
      <c r="UN51">
        <v>0.24299999999999999</v>
      </c>
      <c r="UO51">
        <v>3.2008999999999999</v>
      </c>
      <c r="UP51">
        <v>1.95</v>
      </c>
      <c r="UQ51">
        <v>0.51</v>
      </c>
      <c r="UR51" s="1">
        <v>46086.322222222225</v>
      </c>
    </row>
  </sheetData>
  <sortState xmlns:xlrd2="http://schemas.microsoft.com/office/spreadsheetml/2017/richdata2" ref="A2:UR52">
    <sortCondition ref="A2:A5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20250-0402-4CB8-9425-AF29FD64155A}">
  <dimension ref="A1:F51"/>
  <sheetViews>
    <sheetView workbookViewId="0">
      <selection activeCell="H46" sqref="H46"/>
    </sheetView>
  </sheetViews>
  <sheetFormatPr defaultRowHeight="14.5" x14ac:dyDescent="0.35"/>
  <cols>
    <col min="1" max="1" width="6.54296875" bestFit="1" customWidth="1"/>
    <col min="2" max="2" width="18.26953125" bestFit="1" customWidth="1"/>
    <col min="3" max="3" width="18" bestFit="1" customWidth="1"/>
    <col min="4" max="4" width="10.453125" bestFit="1" customWidth="1"/>
    <col min="5" max="5" width="11.81640625" bestFit="1" customWidth="1"/>
  </cols>
  <sheetData>
    <row r="1" spans="1:6" x14ac:dyDescent="0.35">
      <c r="A1" t="s">
        <v>0</v>
      </c>
      <c r="B1" t="s">
        <v>256</v>
      </c>
      <c r="C1" t="s">
        <v>257</v>
      </c>
      <c r="D1" t="s">
        <v>216</v>
      </c>
      <c r="E1" t="s">
        <v>847</v>
      </c>
      <c r="F1" t="s">
        <v>848</v>
      </c>
    </row>
    <row r="2" spans="1:6" x14ac:dyDescent="0.35">
      <c r="A2">
        <v>28495</v>
      </c>
      <c r="B2">
        <v>28041</v>
      </c>
      <c r="C2">
        <v>28496</v>
      </c>
      <c r="D2" s="2">
        <v>46110</v>
      </c>
      <c r="E2" t="str">
        <f t="shared" ref="E2:E33" si="0">B2&amp;"_"&amp;C2</f>
        <v>28041_28496</v>
      </c>
      <c r="F2">
        <v>1</v>
      </c>
    </row>
    <row r="3" spans="1:6" x14ac:dyDescent="0.35">
      <c r="A3">
        <v>28496</v>
      </c>
      <c r="B3">
        <v>28041</v>
      </c>
      <c r="C3">
        <v>28496</v>
      </c>
      <c r="D3" s="2">
        <v>46110</v>
      </c>
      <c r="E3" t="str">
        <f t="shared" si="0"/>
        <v>28041_28496</v>
      </c>
      <c r="F3">
        <f>1+F2</f>
        <v>2</v>
      </c>
    </row>
    <row r="4" spans="1:6" x14ac:dyDescent="0.35">
      <c r="A4">
        <v>28454</v>
      </c>
      <c r="B4">
        <v>28338</v>
      </c>
      <c r="C4">
        <v>28460</v>
      </c>
      <c r="D4" s="2">
        <v>46108</v>
      </c>
      <c r="E4" t="str">
        <f t="shared" si="0"/>
        <v>28338_28460</v>
      </c>
      <c r="F4">
        <f t="shared" ref="F4:F51" si="1">1+F3</f>
        <v>3</v>
      </c>
    </row>
    <row r="5" spans="1:6" x14ac:dyDescent="0.35">
      <c r="A5">
        <v>28455</v>
      </c>
      <c r="B5">
        <v>28338</v>
      </c>
      <c r="C5">
        <v>28460</v>
      </c>
      <c r="D5" s="2">
        <v>46108</v>
      </c>
      <c r="E5" t="str">
        <f t="shared" si="0"/>
        <v>28338_28460</v>
      </c>
      <c r="F5">
        <f t="shared" si="1"/>
        <v>4</v>
      </c>
    </row>
    <row r="6" spans="1:6" x14ac:dyDescent="0.35">
      <c r="A6">
        <v>28456</v>
      </c>
      <c r="B6">
        <v>28338</v>
      </c>
      <c r="C6">
        <v>28460</v>
      </c>
      <c r="D6" s="2">
        <v>46108</v>
      </c>
      <c r="E6" t="str">
        <f t="shared" si="0"/>
        <v>28338_28460</v>
      </c>
      <c r="F6">
        <f t="shared" si="1"/>
        <v>5</v>
      </c>
    </row>
    <row r="7" spans="1:6" x14ac:dyDescent="0.35">
      <c r="A7">
        <v>28457</v>
      </c>
      <c r="B7">
        <v>28338</v>
      </c>
      <c r="C7">
        <v>28460</v>
      </c>
      <c r="D7" s="2">
        <v>46108</v>
      </c>
      <c r="E7" t="str">
        <f t="shared" si="0"/>
        <v>28338_28460</v>
      </c>
      <c r="F7">
        <f t="shared" si="1"/>
        <v>6</v>
      </c>
    </row>
    <row r="8" spans="1:6" x14ac:dyDescent="0.35">
      <c r="A8">
        <v>28458</v>
      </c>
      <c r="B8">
        <v>28338</v>
      </c>
      <c r="C8">
        <v>28460</v>
      </c>
      <c r="D8" s="2">
        <v>46108</v>
      </c>
      <c r="E8" t="str">
        <f t="shared" si="0"/>
        <v>28338_28460</v>
      </c>
      <c r="F8">
        <f t="shared" si="1"/>
        <v>7</v>
      </c>
    </row>
    <row r="9" spans="1:6" x14ac:dyDescent="0.35">
      <c r="A9">
        <v>28459</v>
      </c>
      <c r="B9">
        <v>28338</v>
      </c>
      <c r="C9">
        <v>28460</v>
      </c>
      <c r="D9" s="2">
        <v>46108</v>
      </c>
      <c r="E9" t="str">
        <f t="shared" si="0"/>
        <v>28338_28460</v>
      </c>
      <c r="F9">
        <f t="shared" si="1"/>
        <v>8</v>
      </c>
    </row>
    <row r="10" spans="1:6" x14ac:dyDescent="0.35">
      <c r="A10">
        <v>28460</v>
      </c>
      <c r="B10">
        <v>28338</v>
      </c>
      <c r="C10">
        <v>28460</v>
      </c>
      <c r="D10" s="2">
        <v>46108</v>
      </c>
      <c r="E10" t="str">
        <f t="shared" si="0"/>
        <v>28338_28460</v>
      </c>
      <c r="F10">
        <f t="shared" si="1"/>
        <v>9</v>
      </c>
    </row>
    <row r="11" spans="1:6" x14ac:dyDescent="0.35">
      <c r="A11">
        <v>28470</v>
      </c>
      <c r="B11">
        <v>28343</v>
      </c>
      <c r="C11">
        <v>28470</v>
      </c>
      <c r="D11" s="2">
        <v>46109</v>
      </c>
      <c r="E11" t="str">
        <f t="shared" si="0"/>
        <v>28343_28470</v>
      </c>
      <c r="F11">
        <f t="shared" si="1"/>
        <v>10</v>
      </c>
    </row>
    <row r="12" spans="1:6" x14ac:dyDescent="0.35">
      <c r="A12">
        <v>28500</v>
      </c>
      <c r="B12">
        <v>28372</v>
      </c>
      <c r="C12">
        <v>28504</v>
      </c>
      <c r="D12" s="2">
        <v>46111</v>
      </c>
      <c r="E12" t="str">
        <f t="shared" si="0"/>
        <v>28372_28504</v>
      </c>
      <c r="F12">
        <f t="shared" si="1"/>
        <v>11</v>
      </c>
    </row>
    <row r="13" spans="1:6" x14ac:dyDescent="0.35">
      <c r="A13">
        <v>28501</v>
      </c>
      <c r="B13">
        <v>28372</v>
      </c>
      <c r="C13">
        <v>28504</v>
      </c>
      <c r="D13" s="2">
        <v>46111</v>
      </c>
      <c r="E13" t="str">
        <f t="shared" si="0"/>
        <v>28372_28504</v>
      </c>
      <c r="F13">
        <f t="shared" si="1"/>
        <v>12</v>
      </c>
    </row>
    <row r="14" spans="1:6" x14ac:dyDescent="0.35">
      <c r="A14">
        <v>28502</v>
      </c>
      <c r="B14">
        <v>28372</v>
      </c>
      <c r="C14">
        <v>28504</v>
      </c>
      <c r="D14" s="2">
        <v>46111</v>
      </c>
      <c r="E14" t="str">
        <f t="shared" si="0"/>
        <v>28372_28504</v>
      </c>
      <c r="F14">
        <f t="shared" si="1"/>
        <v>13</v>
      </c>
    </row>
    <row r="15" spans="1:6" x14ac:dyDescent="0.35">
      <c r="A15">
        <v>28503</v>
      </c>
      <c r="B15">
        <v>28372</v>
      </c>
      <c r="C15">
        <v>28504</v>
      </c>
      <c r="D15" s="2">
        <v>46111</v>
      </c>
      <c r="E15" t="str">
        <f t="shared" si="0"/>
        <v>28372_28504</v>
      </c>
      <c r="F15">
        <f t="shared" si="1"/>
        <v>14</v>
      </c>
    </row>
    <row r="16" spans="1:6" x14ac:dyDescent="0.35">
      <c r="A16">
        <v>28504</v>
      </c>
      <c r="B16">
        <v>28372</v>
      </c>
      <c r="C16">
        <v>28504</v>
      </c>
      <c r="D16" s="2">
        <v>46111</v>
      </c>
      <c r="E16" t="str">
        <f t="shared" si="0"/>
        <v>28372_28504</v>
      </c>
      <c r="F16">
        <f t="shared" si="1"/>
        <v>15</v>
      </c>
    </row>
    <row r="17" spans="1:6" x14ac:dyDescent="0.35">
      <c r="A17">
        <v>28439</v>
      </c>
      <c r="B17">
        <v>28435</v>
      </c>
      <c r="C17">
        <v>28446</v>
      </c>
      <c r="D17" s="2">
        <v>46107</v>
      </c>
      <c r="E17" t="str">
        <f t="shared" si="0"/>
        <v>28435_28446</v>
      </c>
      <c r="F17">
        <f t="shared" si="1"/>
        <v>16</v>
      </c>
    </row>
    <row r="18" spans="1:6" x14ac:dyDescent="0.35">
      <c r="A18">
        <v>28440</v>
      </c>
      <c r="B18">
        <v>28435</v>
      </c>
      <c r="C18">
        <v>28446</v>
      </c>
      <c r="D18" s="2">
        <v>46107</v>
      </c>
      <c r="E18" t="str">
        <f t="shared" si="0"/>
        <v>28435_28446</v>
      </c>
      <c r="F18">
        <f t="shared" si="1"/>
        <v>17</v>
      </c>
    </row>
    <row r="19" spans="1:6" x14ac:dyDescent="0.35">
      <c r="A19">
        <v>28441</v>
      </c>
      <c r="B19">
        <v>28435</v>
      </c>
      <c r="C19">
        <v>28446</v>
      </c>
      <c r="D19" s="2">
        <v>46107</v>
      </c>
      <c r="E19" t="str">
        <f t="shared" si="0"/>
        <v>28435_28446</v>
      </c>
      <c r="F19">
        <f t="shared" si="1"/>
        <v>18</v>
      </c>
    </row>
    <row r="20" spans="1:6" x14ac:dyDescent="0.35">
      <c r="A20">
        <v>28446</v>
      </c>
      <c r="B20">
        <v>28435</v>
      </c>
      <c r="C20">
        <v>28446</v>
      </c>
      <c r="D20" s="2">
        <v>46107</v>
      </c>
      <c r="E20" t="str">
        <f t="shared" si="0"/>
        <v>28435_28446</v>
      </c>
      <c r="F20">
        <f t="shared" si="1"/>
        <v>19</v>
      </c>
    </row>
    <row r="21" spans="1:6" x14ac:dyDescent="0.35">
      <c r="A21">
        <v>28442</v>
      </c>
      <c r="B21">
        <v>28443</v>
      </c>
      <c r="C21">
        <v>28469</v>
      </c>
      <c r="D21" s="2">
        <v>46107</v>
      </c>
      <c r="E21" t="str">
        <f t="shared" si="0"/>
        <v>28443_28469</v>
      </c>
      <c r="F21">
        <f t="shared" si="1"/>
        <v>20</v>
      </c>
    </row>
    <row r="22" spans="1:6" x14ac:dyDescent="0.35">
      <c r="A22">
        <v>28443</v>
      </c>
      <c r="B22">
        <v>28443</v>
      </c>
      <c r="C22">
        <v>28469</v>
      </c>
      <c r="D22" s="2">
        <v>46107</v>
      </c>
      <c r="E22" t="str">
        <f t="shared" si="0"/>
        <v>28443_28469</v>
      </c>
      <c r="F22">
        <f t="shared" si="1"/>
        <v>21</v>
      </c>
    </row>
    <row r="23" spans="1:6" x14ac:dyDescent="0.35">
      <c r="A23">
        <v>28444</v>
      </c>
      <c r="B23">
        <v>28443</v>
      </c>
      <c r="C23">
        <v>28469</v>
      </c>
      <c r="D23" s="2">
        <v>46107</v>
      </c>
      <c r="E23" t="str">
        <f t="shared" si="0"/>
        <v>28443_28469</v>
      </c>
      <c r="F23">
        <f t="shared" si="1"/>
        <v>22</v>
      </c>
    </row>
    <row r="24" spans="1:6" x14ac:dyDescent="0.35">
      <c r="A24">
        <v>28445</v>
      </c>
      <c r="B24">
        <v>28443</v>
      </c>
      <c r="C24">
        <v>28469</v>
      </c>
      <c r="D24" s="2">
        <v>46107</v>
      </c>
      <c r="E24" t="str">
        <f t="shared" si="0"/>
        <v>28443_28469</v>
      </c>
      <c r="F24">
        <f t="shared" si="1"/>
        <v>23</v>
      </c>
    </row>
    <row r="25" spans="1:6" x14ac:dyDescent="0.35">
      <c r="A25">
        <v>28469</v>
      </c>
      <c r="B25">
        <v>28443</v>
      </c>
      <c r="C25">
        <v>28469</v>
      </c>
      <c r="D25" s="2">
        <v>46107</v>
      </c>
      <c r="E25" t="str">
        <f t="shared" si="0"/>
        <v>28443_28469</v>
      </c>
      <c r="F25">
        <f t="shared" si="1"/>
        <v>24</v>
      </c>
    </row>
    <row r="26" spans="1:6" x14ac:dyDescent="0.35">
      <c r="A26">
        <v>28447</v>
      </c>
      <c r="B26">
        <v>28447</v>
      </c>
      <c r="C26">
        <v>28453</v>
      </c>
      <c r="D26" s="2">
        <v>46107</v>
      </c>
      <c r="E26" t="str">
        <f t="shared" si="0"/>
        <v>28447_28453</v>
      </c>
      <c r="F26">
        <f t="shared" si="1"/>
        <v>25</v>
      </c>
    </row>
    <row r="27" spans="1:6" x14ac:dyDescent="0.35">
      <c r="A27">
        <v>28448</v>
      </c>
      <c r="B27">
        <v>28447</v>
      </c>
      <c r="C27">
        <v>28453</v>
      </c>
      <c r="D27" s="2">
        <v>46107</v>
      </c>
      <c r="E27" t="str">
        <f t="shared" si="0"/>
        <v>28447_28453</v>
      </c>
      <c r="F27">
        <f t="shared" si="1"/>
        <v>26</v>
      </c>
    </row>
    <row r="28" spans="1:6" x14ac:dyDescent="0.35">
      <c r="A28">
        <v>28449</v>
      </c>
      <c r="B28">
        <v>28447</v>
      </c>
      <c r="C28">
        <v>28453</v>
      </c>
      <c r="D28" s="2">
        <v>46107</v>
      </c>
      <c r="E28" t="str">
        <f t="shared" si="0"/>
        <v>28447_28453</v>
      </c>
      <c r="F28">
        <f t="shared" si="1"/>
        <v>27</v>
      </c>
    </row>
    <row r="29" spans="1:6" x14ac:dyDescent="0.35">
      <c r="A29">
        <v>28450</v>
      </c>
      <c r="B29">
        <v>28447</v>
      </c>
      <c r="C29">
        <v>28453</v>
      </c>
      <c r="D29" s="2">
        <v>46107</v>
      </c>
      <c r="E29" t="str">
        <f t="shared" si="0"/>
        <v>28447_28453</v>
      </c>
      <c r="F29">
        <f t="shared" si="1"/>
        <v>28</v>
      </c>
    </row>
    <row r="30" spans="1:6" x14ac:dyDescent="0.35">
      <c r="A30">
        <v>28451</v>
      </c>
      <c r="B30">
        <v>28447</v>
      </c>
      <c r="C30">
        <v>28453</v>
      </c>
      <c r="D30" s="2">
        <v>46107</v>
      </c>
      <c r="E30" t="str">
        <f t="shared" si="0"/>
        <v>28447_28453</v>
      </c>
      <c r="F30">
        <f t="shared" si="1"/>
        <v>29</v>
      </c>
    </row>
    <row r="31" spans="1:6" x14ac:dyDescent="0.35">
      <c r="A31">
        <v>28452</v>
      </c>
      <c r="B31">
        <v>28447</v>
      </c>
      <c r="C31">
        <v>28453</v>
      </c>
      <c r="D31" s="2">
        <v>46107</v>
      </c>
      <c r="E31" t="str">
        <f t="shared" si="0"/>
        <v>28447_28453</v>
      </c>
      <c r="F31">
        <f t="shared" si="1"/>
        <v>30</v>
      </c>
    </row>
    <row r="32" spans="1:6" x14ac:dyDescent="0.35">
      <c r="A32">
        <v>28453</v>
      </c>
      <c r="B32">
        <v>28447</v>
      </c>
      <c r="C32">
        <v>28453</v>
      </c>
      <c r="D32" s="2">
        <v>46107</v>
      </c>
      <c r="E32" t="str">
        <f t="shared" si="0"/>
        <v>28447_28453</v>
      </c>
      <c r="F32">
        <f t="shared" si="1"/>
        <v>31</v>
      </c>
    </row>
    <row r="33" spans="1:6" x14ac:dyDescent="0.35">
      <c r="A33">
        <v>28461</v>
      </c>
      <c r="B33">
        <v>28461</v>
      </c>
      <c r="C33">
        <v>28484</v>
      </c>
      <c r="D33" s="2">
        <v>46110</v>
      </c>
      <c r="E33" t="str">
        <f t="shared" si="0"/>
        <v>28461_28484</v>
      </c>
      <c r="F33">
        <f t="shared" si="1"/>
        <v>32</v>
      </c>
    </row>
    <row r="34" spans="1:6" x14ac:dyDescent="0.35">
      <c r="A34">
        <v>28478</v>
      </c>
      <c r="B34">
        <v>28461</v>
      </c>
      <c r="C34">
        <v>28484</v>
      </c>
      <c r="D34" s="2">
        <v>46110</v>
      </c>
      <c r="E34" t="str">
        <f t="shared" ref="E34:E51" si="2">B34&amp;"_"&amp;C34</f>
        <v>28461_28484</v>
      </c>
      <c r="F34">
        <f t="shared" si="1"/>
        <v>33</v>
      </c>
    </row>
    <row r="35" spans="1:6" x14ac:dyDescent="0.35">
      <c r="A35">
        <v>28479</v>
      </c>
      <c r="B35">
        <v>28461</v>
      </c>
      <c r="C35">
        <v>28484</v>
      </c>
      <c r="D35" s="2">
        <v>46110</v>
      </c>
      <c r="E35" t="str">
        <f t="shared" si="2"/>
        <v>28461_28484</v>
      </c>
      <c r="F35">
        <f t="shared" si="1"/>
        <v>34</v>
      </c>
    </row>
    <row r="36" spans="1:6" x14ac:dyDescent="0.35">
      <c r="A36">
        <v>28480</v>
      </c>
      <c r="B36">
        <v>28461</v>
      </c>
      <c r="C36">
        <v>28484</v>
      </c>
      <c r="D36" s="2">
        <v>46110</v>
      </c>
      <c r="E36" t="str">
        <f t="shared" si="2"/>
        <v>28461_28484</v>
      </c>
      <c r="F36">
        <f t="shared" si="1"/>
        <v>35</v>
      </c>
    </row>
    <row r="37" spans="1:6" x14ac:dyDescent="0.35">
      <c r="A37">
        <v>28481</v>
      </c>
      <c r="B37">
        <v>28461</v>
      </c>
      <c r="C37">
        <v>28484</v>
      </c>
      <c r="D37" s="2">
        <v>46110</v>
      </c>
      <c r="E37" t="str">
        <f t="shared" si="2"/>
        <v>28461_28484</v>
      </c>
      <c r="F37">
        <f t="shared" si="1"/>
        <v>36</v>
      </c>
    </row>
    <row r="38" spans="1:6" x14ac:dyDescent="0.35">
      <c r="A38">
        <v>28482</v>
      </c>
      <c r="B38">
        <v>28461</v>
      </c>
      <c r="C38">
        <v>28484</v>
      </c>
      <c r="D38" s="2">
        <v>46110</v>
      </c>
      <c r="E38" t="str">
        <f t="shared" si="2"/>
        <v>28461_28484</v>
      </c>
      <c r="F38">
        <f t="shared" si="1"/>
        <v>37</v>
      </c>
    </row>
    <row r="39" spans="1:6" x14ac:dyDescent="0.35">
      <c r="A39">
        <v>28483</v>
      </c>
      <c r="B39">
        <v>28461</v>
      </c>
      <c r="C39">
        <v>28484</v>
      </c>
      <c r="D39" s="2">
        <v>46110</v>
      </c>
      <c r="E39" t="str">
        <f t="shared" si="2"/>
        <v>28461_28484</v>
      </c>
      <c r="F39">
        <f t="shared" si="1"/>
        <v>38</v>
      </c>
    </row>
    <row r="40" spans="1:6" x14ac:dyDescent="0.35">
      <c r="A40">
        <v>28484</v>
      </c>
      <c r="B40">
        <v>28461</v>
      </c>
      <c r="C40">
        <v>28484</v>
      </c>
      <c r="D40" s="2">
        <v>46110</v>
      </c>
      <c r="E40" t="str">
        <f t="shared" si="2"/>
        <v>28461_28484</v>
      </c>
      <c r="F40">
        <f t="shared" si="1"/>
        <v>39</v>
      </c>
    </row>
    <row r="41" spans="1:6" x14ac:dyDescent="0.35">
      <c r="A41">
        <v>28468</v>
      </c>
      <c r="B41">
        <v>28468</v>
      </c>
      <c r="C41">
        <v>28473</v>
      </c>
      <c r="D41" s="2">
        <v>46109</v>
      </c>
      <c r="E41" t="str">
        <f t="shared" si="2"/>
        <v>28468_28473</v>
      </c>
      <c r="F41">
        <f t="shared" si="1"/>
        <v>40</v>
      </c>
    </row>
    <row r="42" spans="1:6" x14ac:dyDescent="0.35">
      <c r="A42">
        <v>28471</v>
      </c>
      <c r="B42">
        <v>28468</v>
      </c>
      <c r="C42">
        <v>28473</v>
      </c>
      <c r="D42" s="2">
        <v>46109</v>
      </c>
      <c r="E42" t="str">
        <f t="shared" si="2"/>
        <v>28468_28473</v>
      </c>
      <c r="F42">
        <f t="shared" si="1"/>
        <v>41</v>
      </c>
    </row>
    <row r="43" spans="1:6" x14ac:dyDescent="0.35">
      <c r="A43">
        <v>28472</v>
      </c>
      <c r="B43">
        <v>28468</v>
      </c>
      <c r="C43">
        <v>28473</v>
      </c>
      <c r="D43" s="2">
        <v>46109</v>
      </c>
      <c r="E43" t="str">
        <f t="shared" si="2"/>
        <v>28468_28473</v>
      </c>
      <c r="F43">
        <f t="shared" si="1"/>
        <v>42</v>
      </c>
    </row>
    <row r="44" spans="1:6" x14ac:dyDescent="0.35">
      <c r="A44">
        <v>28473</v>
      </c>
      <c r="B44">
        <v>28468</v>
      </c>
      <c r="C44">
        <v>28473</v>
      </c>
      <c r="D44" s="2">
        <v>46109</v>
      </c>
      <c r="E44" t="str">
        <f t="shared" si="2"/>
        <v>28468_28473</v>
      </c>
      <c r="F44">
        <f t="shared" si="1"/>
        <v>43</v>
      </c>
    </row>
    <row r="45" spans="1:6" x14ac:dyDescent="0.35">
      <c r="A45">
        <v>28474</v>
      </c>
      <c r="B45">
        <v>28474</v>
      </c>
      <c r="C45">
        <v>28477</v>
      </c>
      <c r="D45" s="2">
        <v>46109</v>
      </c>
      <c r="E45" t="str">
        <f t="shared" si="2"/>
        <v>28474_28477</v>
      </c>
      <c r="F45">
        <f t="shared" si="1"/>
        <v>44</v>
      </c>
    </row>
    <row r="46" spans="1:6" x14ac:dyDescent="0.35">
      <c r="A46">
        <v>28475</v>
      </c>
      <c r="B46">
        <v>28474</v>
      </c>
      <c r="C46">
        <v>28477</v>
      </c>
      <c r="D46" s="2">
        <v>46109</v>
      </c>
      <c r="E46" t="str">
        <f t="shared" si="2"/>
        <v>28474_28477</v>
      </c>
      <c r="F46">
        <f t="shared" si="1"/>
        <v>45</v>
      </c>
    </row>
    <row r="47" spans="1:6" x14ac:dyDescent="0.35">
      <c r="A47">
        <v>28476</v>
      </c>
      <c r="B47">
        <v>28474</v>
      </c>
      <c r="C47">
        <v>28477</v>
      </c>
      <c r="D47" s="2">
        <v>46109</v>
      </c>
      <c r="E47" t="str">
        <f t="shared" si="2"/>
        <v>28474_28477</v>
      </c>
      <c r="F47">
        <f t="shared" si="1"/>
        <v>46</v>
      </c>
    </row>
    <row r="48" spans="1:6" x14ac:dyDescent="0.35">
      <c r="A48">
        <v>28477</v>
      </c>
      <c r="B48">
        <v>28474</v>
      </c>
      <c r="C48">
        <v>28477</v>
      </c>
      <c r="D48" s="2">
        <v>46109</v>
      </c>
      <c r="E48" t="str">
        <f t="shared" si="2"/>
        <v>28474_28477</v>
      </c>
      <c r="F48">
        <f t="shared" si="1"/>
        <v>47</v>
      </c>
    </row>
    <row r="49" spans="1:6" x14ac:dyDescent="0.35">
      <c r="A49">
        <v>28497</v>
      </c>
      <c r="B49">
        <v>28497</v>
      </c>
      <c r="C49">
        <v>28499</v>
      </c>
      <c r="D49" s="2">
        <v>46111</v>
      </c>
      <c r="E49" t="str">
        <f t="shared" si="2"/>
        <v>28497_28499</v>
      </c>
      <c r="F49">
        <f t="shared" si="1"/>
        <v>48</v>
      </c>
    </row>
    <row r="50" spans="1:6" x14ac:dyDescent="0.35">
      <c r="A50">
        <v>28498</v>
      </c>
      <c r="B50">
        <v>28497</v>
      </c>
      <c r="C50">
        <v>28499</v>
      </c>
      <c r="D50" s="2">
        <v>46111</v>
      </c>
      <c r="E50" t="str">
        <f t="shared" si="2"/>
        <v>28497_28499</v>
      </c>
      <c r="F50">
        <f t="shared" si="1"/>
        <v>49</v>
      </c>
    </row>
    <row r="51" spans="1:6" x14ac:dyDescent="0.35">
      <c r="A51" s="3">
        <v>28499</v>
      </c>
      <c r="B51">
        <v>28497</v>
      </c>
      <c r="C51">
        <v>28499</v>
      </c>
      <c r="D51" s="2">
        <v>46111</v>
      </c>
      <c r="E51" t="str">
        <f t="shared" si="2"/>
        <v>28497_28499</v>
      </c>
      <c r="F51">
        <f t="shared" si="1"/>
        <v>50</v>
      </c>
    </row>
  </sheetData>
  <sortState xmlns:xlrd2="http://schemas.microsoft.com/office/spreadsheetml/2017/richdata2" ref="A2:E52">
    <sortCondition ref="E2:E52"/>
    <sortCondition ref="D2:D5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HeatQuery_All_03312026063851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pradeep.agarwal</dc:creator>
  <cp:lastModifiedBy>Nikhil Lakshman</cp:lastModifiedBy>
  <dcterms:created xsi:type="dcterms:W3CDTF">2026-03-31T10:40:46Z</dcterms:created>
  <dcterms:modified xsi:type="dcterms:W3CDTF">2026-06-11T05:30:25Z</dcterms:modified>
</cp:coreProperties>
</file>
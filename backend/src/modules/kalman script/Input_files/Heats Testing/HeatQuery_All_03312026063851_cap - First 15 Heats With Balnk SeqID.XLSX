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W057\scrap_optimisation_front_end\backend\src\modules\kalman script\Input_files\Cap_XLSX\"/>
    </mc:Choice>
  </mc:AlternateContent>
  <xr:revisionPtr revIDLastSave="0" documentId="13_ncr:1_{C0ED3B90-4892-4259-8A4C-4B95CD075C80}" xr6:coauthVersionLast="47" xr6:coauthVersionMax="47" xr10:uidLastSave="{00000000-0000-0000-0000-000000000000}"/>
  <bookViews>
    <workbookView xWindow="28680" yWindow="-120" windowWidth="29040" windowHeight="15720" xr2:uid="{BD563B61-7637-4189-9A01-919E67279095}"/>
  </bookViews>
  <sheets>
    <sheet name="HeatQuery_All_03312026063851" sheetId="3" r:id="rId1"/>
    <sheet name="Sheet1" sheetId="4" r:id="rId2"/>
  </sheets>
  <definedNames>
    <definedName name="_xlnm._FilterDatabase" localSheetId="0" hidden="1">HeatQuery_All_03312026063851!$A$1:$UR$11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F8" i="4"/>
  <c r="F9" i="4"/>
  <c r="F10" i="4" s="1"/>
  <c r="F11" i="4" s="1"/>
  <c r="F12" i="4" s="1"/>
  <c r="F13" i="4" s="1"/>
  <c r="F14" i="4" s="1"/>
  <c r="F6" i="4"/>
  <c r="E34" i="4"/>
  <c r="E33" i="4"/>
  <c r="E32" i="4"/>
  <c r="E31" i="4"/>
  <c r="E30" i="4"/>
  <c r="E29" i="4"/>
  <c r="E28" i="4"/>
  <c r="E27" i="4"/>
  <c r="E26" i="4"/>
  <c r="E25" i="4"/>
  <c r="F21" i="4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" i="4"/>
  <c r="F4" i="4" s="1"/>
  <c r="E9" i="4"/>
  <c r="E3" i="4"/>
  <c r="E10" i="4"/>
  <c r="E4" i="4"/>
  <c r="E5" i="4"/>
  <c r="E8" i="4"/>
  <c r="E6" i="4"/>
  <c r="E7" i="4"/>
  <c r="E2" i="4"/>
</calcChain>
</file>

<file path=xl/sharedStrings.xml><?xml version="1.0" encoding="utf-8"?>
<sst xmlns="http://schemas.openxmlformats.org/spreadsheetml/2006/main" count="978" uniqueCount="745">
  <si>
    <t>HeatID</t>
  </si>
  <si>
    <t>HeatNumber</t>
  </si>
  <si>
    <t>HeatStatusID</t>
  </si>
  <si>
    <t>StageGroup</t>
  </si>
  <si>
    <t>StageSeq</t>
  </si>
  <si>
    <t>WONbr</t>
  </si>
  <si>
    <t>EAFPartNbr</t>
  </si>
  <si>
    <t>PlanWeight</t>
  </si>
  <si>
    <t>PlanProdDate</t>
  </si>
  <si>
    <t>PlanSlabWidth1</t>
  </si>
  <si>
    <t>PlanSlabLength1</t>
  </si>
  <si>
    <t>PlanSlabNotes1</t>
  </si>
  <si>
    <t>PlanSlabWidth2</t>
  </si>
  <si>
    <t>PlanSlabLength2</t>
  </si>
  <si>
    <t>PlanSlabNotes2</t>
  </si>
  <si>
    <t>ScheduleSeq</t>
  </si>
  <si>
    <t>MelterID</t>
  </si>
  <si>
    <t>SupervisorID</t>
  </si>
  <si>
    <t>EAFStartTime</t>
  </si>
  <si>
    <t>EAFPowerOnTime</t>
  </si>
  <si>
    <t>EAFTotalPowerOnTime</t>
  </si>
  <si>
    <t>EAFPowerOffTime</t>
  </si>
  <si>
    <t>EAFTotalPowerOffTime</t>
  </si>
  <si>
    <t>TapWeightActual</t>
  </si>
  <si>
    <t>TapTime</t>
  </si>
  <si>
    <t>TapLadleID</t>
  </si>
  <si>
    <t>LadlemanID</t>
  </si>
  <si>
    <t>EAFTotalKWH</t>
  </si>
  <si>
    <t>EAFShellLife</t>
  </si>
  <si>
    <t>EAFBottomLife</t>
  </si>
  <si>
    <t>EAFHeelWeight</t>
  </si>
  <si>
    <t>EAFCelox1_C</t>
  </si>
  <si>
    <t>EAFCelox1_O2</t>
  </si>
  <si>
    <t>EAFCelox1_Temp</t>
  </si>
  <si>
    <t>EAFCelox2_C</t>
  </si>
  <si>
    <t>EAFCelox2_O2</t>
  </si>
  <si>
    <t>EAFCelox2_Temp</t>
  </si>
  <si>
    <t>EAFDelayMinutes</t>
  </si>
  <si>
    <t>EAFDelayDescription</t>
  </si>
  <si>
    <t>EAFComments</t>
  </si>
  <si>
    <t>UpdateTimeEAF</t>
  </si>
  <si>
    <t>LMFUnit</t>
  </si>
  <si>
    <t>LMFOperatorID</t>
  </si>
  <si>
    <t>LMFSupervisorID</t>
  </si>
  <si>
    <t>LMFStartTime</t>
  </si>
  <si>
    <t>LMFEndTime</t>
  </si>
  <si>
    <t>LMFTotalPowerOnTime</t>
  </si>
  <si>
    <t>LMFTotalProcessingTime</t>
  </si>
  <si>
    <t>LMFSlagDepth</t>
  </si>
  <si>
    <t>LMFSlagDepthFinal</t>
  </si>
  <si>
    <t>LMFEndWeight</t>
  </si>
  <si>
    <t>LMFStartWeight</t>
  </si>
  <si>
    <t>LMFTotalKWH</t>
  </si>
  <si>
    <t>LMFStartTemp</t>
  </si>
  <si>
    <t>LMFLastTemp</t>
  </si>
  <si>
    <t>LMFDelayMinutes</t>
  </si>
  <si>
    <t>LMFDelayDescription</t>
  </si>
  <si>
    <t>LMFComments</t>
  </si>
  <si>
    <t>UpdateTimeLMF</t>
  </si>
  <si>
    <t>TurretArrivedTime</t>
  </si>
  <si>
    <t>CasterStartTime</t>
  </si>
  <si>
    <t>CasterEndTime</t>
  </si>
  <si>
    <t>LadleLoss</t>
  </si>
  <si>
    <t>TundishLoss</t>
  </si>
  <si>
    <t>CastSeq</t>
  </si>
  <si>
    <t>CasterSupervisorID</t>
  </si>
  <si>
    <t>CasterOperatorID</t>
  </si>
  <si>
    <t>RunoutOperatorID</t>
  </si>
  <si>
    <t>CasterDelayMinutes</t>
  </si>
  <si>
    <t>CasterDelayDescription</t>
  </si>
  <si>
    <t>CasterComments</t>
  </si>
  <si>
    <t>LadleOpenTime</t>
  </si>
  <si>
    <t>LadleCloseTime</t>
  </si>
  <si>
    <t>LadleFreeOpen</t>
  </si>
  <si>
    <t>CasterSprayPlan</t>
  </si>
  <si>
    <t>TundishNbr</t>
  </si>
  <si>
    <t>CasterShroudFix</t>
  </si>
  <si>
    <t>CasterLancePipe</t>
  </si>
  <si>
    <t>ShroudLife</t>
  </si>
  <si>
    <t>SENLife</t>
  </si>
  <si>
    <t>CastSpeedStrand1</t>
  </si>
  <si>
    <t>CastSpeedStrand2</t>
  </si>
  <si>
    <t>SENHeatingStartTimeStrand1</t>
  </si>
  <si>
    <t>SENHeatingStartTimeStrand2</t>
  </si>
  <si>
    <t>TundishNozzleCloggingStrand1</t>
  </si>
  <si>
    <t>TundishNozzleCloggingStrand2</t>
  </si>
  <si>
    <t>BOStrand1</t>
  </si>
  <si>
    <t>BOStrand2</t>
  </si>
  <si>
    <t>SlideGateFailureStrand1</t>
  </si>
  <si>
    <t>SlideGateFailureStrand2</t>
  </si>
  <si>
    <t>LadleNozzleClogging</t>
  </si>
  <si>
    <t>ShroudBackFire</t>
  </si>
  <si>
    <t>MoldStrand1</t>
  </si>
  <si>
    <t>MoldStrand2</t>
  </si>
  <si>
    <t>QCStrand1</t>
  </si>
  <si>
    <t>QCStrand2</t>
  </si>
  <si>
    <t>TundishTemp1</t>
  </si>
  <si>
    <t>TundishTemp2</t>
  </si>
  <si>
    <t>TundishTemp3</t>
  </si>
  <si>
    <t>ddtNorthBroadStrand1</t>
  </si>
  <si>
    <t>ddtSouthBroadStrand1</t>
  </si>
  <si>
    <t>ddtEastNarrowStrand1</t>
  </si>
  <si>
    <t>ddtWestNarrowStrand1</t>
  </si>
  <si>
    <t>ddtNorthBroadStrand2</t>
  </si>
  <si>
    <t>ddtSouthBroadStrand2</t>
  </si>
  <si>
    <t>ddtEastNarrowStrand2</t>
  </si>
  <si>
    <t>ddtWestNarrowStrand2</t>
  </si>
  <si>
    <t>ddmNorthBroadStrand1_1</t>
  </si>
  <si>
    <t>ddmSouthBroadStrand1_1</t>
  </si>
  <si>
    <t>ddmEastNarrowStrand1_1</t>
  </si>
  <si>
    <t>ddmWestNarrowStrand1_1</t>
  </si>
  <si>
    <t>ddmNorthBroadStrand2_1</t>
  </si>
  <si>
    <t>ddmSouthBroadStrand2_1</t>
  </si>
  <si>
    <t>ddmEastNarrowStrand2_1</t>
  </si>
  <si>
    <t>ddmWestNarrowStrand2_1</t>
  </si>
  <si>
    <t>ddmNorthBroadStrand1_2</t>
  </si>
  <si>
    <t>ddmSouthBroadStrand1_2</t>
  </si>
  <si>
    <t>ddmEastNarrowStrand1_2</t>
  </si>
  <si>
    <t>ddmWestNarrowStrand1_2</t>
  </si>
  <si>
    <t>ddmNorthBroadStrand2_2</t>
  </si>
  <si>
    <t>ddmSouthBroadStrand2_2</t>
  </si>
  <si>
    <t>ddmEastNarrowStrand2_2</t>
  </si>
  <si>
    <t>ddmWestNarrowStrand2_2</t>
  </si>
  <si>
    <t>ddmNorthBroadStrand1_3</t>
  </si>
  <si>
    <t>ddmSouthBroadStrand1_3</t>
  </si>
  <si>
    <t>ddmEastNarrowStrand1_3</t>
  </si>
  <si>
    <t>ddmWestNarrowStrand1_3</t>
  </si>
  <si>
    <t>ddmNorthBroadStrand2_3</t>
  </si>
  <si>
    <t>ddmSouthBroadStrand2_3</t>
  </si>
  <si>
    <t>ddmEastNarrowStrand2_3</t>
  </si>
  <si>
    <t>ddmWestNarrowStrand2_3</t>
  </si>
  <si>
    <t>UpdateTimeCaster</t>
  </si>
  <si>
    <t>LengthHeadCropStrand1</t>
  </si>
  <si>
    <t>LengthHeadCropStrand2</t>
  </si>
  <si>
    <t>LengthTailCropStrand1</t>
  </si>
  <si>
    <t>LengthTailCropStrand2</t>
  </si>
  <si>
    <t>CompletedTime</t>
  </si>
  <si>
    <t>ApproverID</t>
  </si>
  <si>
    <t>ApprovedTime</t>
  </si>
  <si>
    <t>PostProdTime</t>
  </si>
  <si>
    <t>EAFCelox3_C</t>
  </si>
  <si>
    <t>EAFCelox3_O2</t>
  </si>
  <si>
    <t>EAFCelox3_Temp</t>
  </si>
  <si>
    <t>EAFCelox4_C</t>
  </si>
  <si>
    <t>EAFCelox4_O2</t>
  </si>
  <si>
    <t>EAFCelox4_Temp</t>
  </si>
  <si>
    <t>LMFCelox1_C</t>
  </si>
  <si>
    <t>LMFCelox1_O2</t>
  </si>
  <si>
    <t>LMFCelox1_Temp</t>
  </si>
  <si>
    <t>LMFCelox2_C</t>
  </si>
  <si>
    <t>LMFCelox2_O2</t>
  </si>
  <si>
    <t>LMFCelox2_Temp</t>
  </si>
  <si>
    <t>LMFCelox3_C</t>
  </si>
  <si>
    <t>LMFCelox3_O2</t>
  </si>
  <si>
    <t>LMFCelox3_Temp</t>
  </si>
  <si>
    <t>LMFCelox4_C</t>
  </si>
  <si>
    <t>LMFCelox4_O2</t>
  </si>
  <si>
    <t>LMFCelox4_Temp</t>
  </si>
  <si>
    <t>CasterHydras1_H</t>
  </si>
  <si>
    <t>CasterHydras2_H</t>
  </si>
  <si>
    <t>CasterHydras3_H</t>
  </si>
  <si>
    <t>MacroEdgeRequiredStrand1</t>
  </si>
  <si>
    <t>MacroEdgeRequiredStrand2</t>
  </si>
  <si>
    <t>MacroEdgeRequiredFmtStrand1</t>
  </si>
  <si>
    <t>MacroEdgeRequiredFmtStrand2</t>
  </si>
  <si>
    <t>MELTL2X_Alerts</t>
  </si>
  <si>
    <t>UpdaterID</t>
  </si>
  <si>
    <t>UpdateTime</t>
  </si>
  <si>
    <t>PlanGradeID</t>
  </si>
  <si>
    <t>PlanGradeName</t>
  </si>
  <si>
    <t>GradeName</t>
  </si>
  <si>
    <t>GradeID</t>
  </si>
  <si>
    <t>ProdGradeName</t>
  </si>
  <si>
    <t>ProdGradeRevName</t>
  </si>
  <si>
    <t>ProdGradeRevFullName</t>
  </si>
  <si>
    <t>TapLadle</t>
  </si>
  <si>
    <t>CastLadle</t>
  </si>
  <si>
    <t>HeatStatusName</t>
  </si>
  <si>
    <t>InProcess</t>
  </si>
  <si>
    <t>Melter</t>
  </si>
  <si>
    <t>Supervisor</t>
  </si>
  <si>
    <t>LMFOperator</t>
  </si>
  <si>
    <t>HeatAndStatusName</t>
  </si>
  <si>
    <t>HeatName</t>
  </si>
  <si>
    <t>HeatProdTime</t>
  </si>
  <si>
    <t>PlanSlabDimensions1</t>
  </si>
  <si>
    <t>PlanSlabDimensions2</t>
  </si>
  <si>
    <t>EAFProcessMinutes</t>
  </si>
  <si>
    <t>LMFProcessMinutes</t>
  </si>
  <si>
    <t>CasterProcessMinutes</t>
  </si>
  <si>
    <t>LMFName</t>
  </si>
  <si>
    <t>TapTons</t>
  </si>
  <si>
    <t>PlanSlabItemID1</t>
  </si>
  <si>
    <t>PlanSlabItemID2</t>
  </si>
  <si>
    <t>PlanSlabItemNbr1</t>
  </si>
  <si>
    <t>PlanSlabItemNbr2</t>
  </si>
  <si>
    <t>SlabItemID1</t>
  </si>
  <si>
    <t>SlabItemID2</t>
  </si>
  <si>
    <t>SlabItemNbr1</t>
  </si>
  <si>
    <t>SlabItemNbr2</t>
  </si>
  <si>
    <t>MoldTopWidth1</t>
  </si>
  <si>
    <t>MoldTopWidth2</t>
  </si>
  <si>
    <t>MoldBeginTaperEast1</t>
  </si>
  <si>
    <t>MoldBeginTaperEast2</t>
  </si>
  <si>
    <t>MoldBeginTaperWest1</t>
  </si>
  <si>
    <t>MoldBeginTaperWest2</t>
  </si>
  <si>
    <t>MoldEndCapTaperEast1</t>
  </si>
  <si>
    <t>MoldEndCapTaperEast2</t>
  </si>
  <si>
    <t>MoldEndCapTaperWest1</t>
  </si>
  <si>
    <t>MoldEndCapTaperWest2</t>
  </si>
  <si>
    <t>MoldDBHeadSize1</t>
  </si>
  <si>
    <t>MoldDBHeadSize2</t>
  </si>
  <si>
    <t>MoldColdWidth1</t>
  </si>
  <si>
    <t>MoldColdWidth2</t>
  </si>
  <si>
    <t>SupportRoll1</t>
  </si>
  <si>
    <t>SupportRoll2</t>
  </si>
  <si>
    <t>ProdDate</t>
  </si>
  <si>
    <t>CasterSprayPlan2</t>
  </si>
  <si>
    <t>Crew</t>
  </si>
  <si>
    <t>CastLadleID</t>
  </si>
  <si>
    <t>HeatsOnTundish</t>
  </si>
  <si>
    <t>TundishCarNbr</t>
  </si>
  <si>
    <t>LMFHydras1</t>
  </si>
  <si>
    <t>LMFHydras2</t>
  </si>
  <si>
    <t>LMFHydras3</t>
  </si>
  <si>
    <t>ProdTrial</t>
  </si>
  <si>
    <t>EAFProdTrialNotes</t>
  </si>
  <si>
    <t>LMFProdTrialNotes</t>
  </si>
  <si>
    <t>CasterProdTrialNotes</t>
  </si>
  <si>
    <t>LadleShroudGaskets</t>
  </si>
  <si>
    <t>Withdrawal</t>
  </si>
  <si>
    <t>WithdrawalTime</t>
  </si>
  <si>
    <t>WithdrawalCapoffUnScheduled</t>
  </si>
  <si>
    <t>WithdrawalDeptRelated</t>
  </si>
  <si>
    <t>WithdrawalReason</t>
  </si>
  <si>
    <t>CasterLMFOrderTemp</t>
  </si>
  <si>
    <t>UnexpectedScrapWeight</t>
  </si>
  <si>
    <t>BO_Alarm_InfoStrand1</t>
  </si>
  <si>
    <t>BO_Alarm_InfoStrand2</t>
  </si>
  <si>
    <t>BO_Alarm_TotalYellowStrand1</t>
  </si>
  <si>
    <t>BO_Alarm_TotalYellowStrand2</t>
  </si>
  <si>
    <t>BO_Alarm_TotalRedStrand1</t>
  </si>
  <si>
    <t>BO_Alarm_TotalRedStrand2</t>
  </si>
  <si>
    <t>Liquidus</t>
  </si>
  <si>
    <t>TundishTempSuperheat1</t>
  </si>
  <si>
    <t>TundishTempSuperheat2</t>
  </si>
  <si>
    <t>TundishTempSuperheat3</t>
  </si>
  <si>
    <t>GradeProdInstructions</t>
  </si>
  <si>
    <t>EAF_Instructions</t>
  </si>
  <si>
    <t>LMF_Instructions</t>
  </si>
  <si>
    <t>ProdGradeSteelmakingPractice</t>
  </si>
  <si>
    <t>TapLadleEquipmentID</t>
  </si>
  <si>
    <t>CastLadleEquipmentID</t>
  </si>
  <si>
    <t>SalesOrderNbr</t>
  </si>
  <si>
    <t>UpdateTimeRunout</t>
  </si>
  <si>
    <t>HCY_HeatID</t>
  </si>
  <si>
    <t>FirstSequenceHeatID</t>
  </si>
  <si>
    <t>LastSequenceHeatID</t>
  </si>
  <si>
    <t>TotalPrimeSlabTons</t>
  </si>
  <si>
    <t>TotalCropTons</t>
  </si>
  <si>
    <t>LossTons</t>
  </si>
  <si>
    <t>AddToTundish</t>
  </si>
  <si>
    <t>TotalCutAndScaleTons</t>
  </si>
  <si>
    <t>TotalCastTons</t>
  </si>
  <si>
    <t>TotalTappedTons</t>
  </si>
  <si>
    <t>CasterYield</t>
  </si>
  <si>
    <t>SlabCount1</t>
  </si>
  <si>
    <t>LengthHeadCropStrand11</t>
  </si>
  <si>
    <t>LengthTailCropStrand11</t>
  </si>
  <si>
    <t>SumSlabCalcWeight1</t>
  </si>
  <si>
    <t>SumSlabLength1</t>
  </si>
  <si>
    <t>ActualSlabAverageWidth1</t>
  </si>
  <si>
    <t>ActualSlabAverageThickness1</t>
  </si>
  <si>
    <t>HeadAndTailCropLength1</t>
  </si>
  <si>
    <t>PrimeSlabTons1</t>
  </si>
  <si>
    <t>CutAndScaleTons1</t>
  </si>
  <si>
    <t>CropTons1</t>
  </si>
  <si>
    <t>HeadCropWeight1</t>
  </si>
  <si>
    <t>TailCropWeight1</t>
  </si>
  <si>
    <t>SlabCount2</t>
  </si>
  <si>
    <t>LengthHeadCropStrand21</t>
  </si>
  <si>
    <t>LengthTailCropStrand21</t>
  </si>
  <si>
    <t>SumSlabCalcWeight2</t>
  </si>
  <si>
    <t>SumSlabLength2</t>
  </si>
  <si>
    <t>ActualSlabAverageWidth2</t>
  </si>
  <si>
    <t>ActualSlabAverageThickness2</t>
  </si>
  <si>
    <t>HeadAndTailCropLength2</t>
  </si>
  <si>
    <t>PrimeSlabTons2</t>
  </si>
  <si>
    <t>CutAndScaleTons2</t>
  </si>
  <si>
    <t>CropTons2</t>
  </si>
  <si>
    <t>HeadCropWeight2</t>
  </si>
  <si>
    <t>TailCropWeight2</t>
  </si>
  <si>
    <t>LadleLoss1</t>
  </si>
  <si>
    <t>TundishLoss1</t>
  </si>
  <si>
    <t>UnexpectedScrapWeight1</t>
  </si>
  <si>
    <t>GradeName1</t>
  </si>
  <si>
    <t>GradeDensity</t>
  </si>
  <si>
    <t>HeatID1</t>
  </si>
  <si>
    <t>CHG-Busheling</t>
  </si>
  <si>
    <t>CHG-Pig Iron</t>
  </si>
  <si>
    <t>CHG-Shred</t>
  </si>
  <si>
    <t>CHG-P &amp; S</t>
  </si>
  <si>
    <t>CHG-Scrap - #1 Bundle DL</t>
  </si>
  <si>
    <t>CHG-HBI</t>
  </si>
  <si>
    <t>CHG-Internal - Home Coils</t>
  </si>
  <si>
    <t>CHG-#1 Bundling</t>
  </si>
  <si>
    <t>CHG-#1 HeavyMetl</t>
  </si>
  <si>
    <t>CHG-Iron</t>
  </si>
  <si>
    <t>CHG-Beach Iron</t>
  </si>
  <si>
    <t>CHG-Pit</t>
  </si>
  <si>
    <t>CHG-Railroad Rail</t>
  </si>
  <si>
    <t>CHG-3' Rail Crops</t>
  </si>
  <si>
    <t>CHG-RR Track Material</t>
  </si>
  <si>
    <t>CHG-Railroad Wheels</t>
  </si>
  <si>
    <t>CHG-Tin Bushling</t>
  </si>
  <si>
    <t>CHG-Furnace Iron</t>
  </si>
  <si>
    <t>CHG-Flashing</t>
  </si>
  <si>
    <t>CHG-T Post Bush</t>
  </si>
  <si>
    <t>CHG-T-Bars</t>
  </si>
  <si>
    <t>CHG-Autocast Scrap</t>
  </si>
  <si>
    <t>CHG-Turnings</t>
  </si>
  <si>
    <t>CHG-OTMScrap</t>
  </si>
  <si>
    <t>CHG-#1 DT Bun</t>
  </si>
  <si>
    <t>CHG-Pit Scrap -Tundish</t>
  </si>
  <si>
    <t>CHG-Internal - Home Slabs</t>
  </si>
  <si>
    <t>CHG-Low Cu Scrap</t>
  </si>
  <si>
    <t>CHG-Cast Iron Rolls</t>
  </si>
  <si>
    <t>CHG-Chrome Rolls</t>
  </si>
  <si>
    <t>CHG-Scrap - Pipe Busheling</t>
  </si>
  <si>
    <t>CHG-Prime-3' Proc Ingot</t>
  </si>
  <si>
    <t>CHG-A Scrap</t>
  </si>
  <si>
    <t>CHG-Ftry DT Bun Scrap</t>
  </si>
  <si>
    <t>CHG-Tin Plate Scrap</t>
  </si>
  <si>
    <t>CHG-Scrap - Plate</t>
  </si>
  <si>
    <t>CHG-Scrap - Shred Busheling</t>
  </si>
  <si>
    <t>CHG-Scrap - Tin Bundles</t>
  </si>
  <si>
    <t>CHG-Scrap - Hammered</t>
  </si>
  <si>
    <t>CHG-Scrap - Party Mix</t>
  </si>
  <si>
    <t>CHG-Pig Iron - Fines</t>
  </si>
  <si>
    <t>CHG-Iron Briquettes</t>
  </si>
  <si>
    <t>CHG-Scrap - Pit External</t>
  </si>
  <si>
    <t>CHG-Pot Skulls</t>
  </si>
  <si>
    <t>CHG-Iron Block Scrap</t>
  </si>
  <si>
    <t>CHG-Auto Dies Scrap</t>
  </si>
  <si>
    <t>CHG-Iron Button Scrap</t>
  </si>
  <si>
    <t>CHG-Boiler Tube Scrap</t>
  </si>
  <si>
    <t>CHG-External Tundish Scrap</t>
  </si>
  <si>
    <t>CHG-Pot Lips Scrap</t>
  </si>
  <si>
    <t>CHG-Scrap - Mine Chain</t>
  </si>
  <si>
    <t>CHG-Scrap - Flame Cut Plate</t>
  </si>
  <si>
    <t>CHG-Scrap - Monopile Plate</t>
  </si>
  <si>
    <t>CHG-Scrap - Form Briqs</t>
  </si>
  <si>
    <t>CHG-Scrap - Prime Billets</t>
  </si>
  <si>
    <t>CHG-PLAN-Busheling</t>
  </si>
  <si>
    <t>CHG-PLAN-Pig Iron</t>
  </si>
  <si>
    <t>CHG-PLAN-Shred</t>
  </si>
  <si>
    <t>CHG-PLAN-P &amp; S</t>
  </si>
  <si>
    <t>CHG-PLAN-Scrap - #1 Bundle DL</t>
  </si>
  <si>
    <t>CHG-PLAN-HBI</t>
  </si>
  <si>
    <t>CHG-PLAN-Internal - Home Coils</t>
  </si>
  <si>
    <t>CHG-PLAN-#1 Bundling</t>
  </si>
  <si>
    <t>CHG-PLAN-#1 HeavyMetl</t>
  </si>
  <si>
    <t>CHG-PLAN-Iron</t>
  </si>
  <si>
    <t>CHG-PLAN-Beach Iron</t>
  </si>
  <si>
    <t>CHG-PLAN-Pit</t>
  </si>
  <si>
    <t>CHG-PLAN-Railroad Rail</t>
  </si>
  <si>
    <t>CHG-PLAN-3' Rail Crops</t>
  </si>
  <si>
    <t>CHG-PLAN-RR Track Material</t>
  </si>
  <si>
    <t>CHG-PLAN-Railroad Wheels</t>
  </si>
  <si>
    <t>CHG-PLAN-Tin Bushling</t>
  </si>
  <si>
    <t>CHG-PLAN-Furnace Iron</t>
  </si>
  <si>
    <t>CHG-PLAN-Flashing</t>
  </si>
  <si>
    <t>CHG-PLAN-T Post Bush</t>
  </si>
  <si>
    <t>CHG-PLAN-T-Bars</t>
  </si>
  <si>
    <t>CHG-PLAN-Autocast Scrap</t>
  </si>
  <si>
    <t>CHG-PLAN-Turnings</t>
  </si>
  <si>
    <t>CHG-PLAN-OTMScrap</t>
  </si>
  <si>
    <t>CHG-PLAN-#1 DT Bun</t>
  </si>
  <si>
    <t>CHG-PLAN-Pit Scrap -Tundish</t>
  </si>
  <si>
    <t>CHG-PLAN-Internal - Home Slabs</t>
  </si>
  <si>
    <t>CHG-PLAN-Low Cu Scrap</t>
  </si>
  <si>
    <t>CHG-PLAN-Cast Iron Rolls</t>
  </si>
  <si>
    <t>CHG-PLAN-Chrome Rolls</t>
  </si>
  <si>
    <t>CHG-PLAN-Scrap - Pipe Busheling</t>
  </si>
  <si>
    <t>CHG-PLAN-Prime-3' Proc Ingot</t>
  </si>
  <si>
    <t>CHG-PLAN-A Scrap</t>
  </si>
  <si>
    <t>CHG-PLAN-Ftry DT Bun Scrap</t>
  </si>
  <si>
    <t>CHG-PLAN-Tin Plate Scrap</t>
  </si>
  <si>
    <t>CHG-PLAN-Scrap - Plate</t>
  </si>
  <si>
    <t>CHG-PLAN-Scrap - Shred Busheling</t>
  </si>
  <si>
    <t>CHG-PLAN-Scrap - Tin Bundles</t>
  </si>
  <si>
    <t>CHG-PLAN-Scrap - Hammered</t>
  </si>
  <si>
    <t>CHG-PLAN-Scrap - Party Mix</t>
  </si>
  <si>
    <t>CHG-PLAN-Pig Iron - Fines</t>
  </si>
  <si>
    <t>CHG-PLAN-Iron Briquettes</t>
  </si>
  <si>
    <t>CHG-PLAN-Scrap - Pit External</t>
  </si>
  <si>
    <t>CHG-PLAN-Pot Skulls</t>
  </si>
  <si>
    <t>CHG-PLAN-Iron Block Scrap</t>
  </si>
  <si>
    <t>CHG-PLAN-Auto Dies Scrap</t>
  </si>
  <si>
    <t>CHG-PLAN-Iron Button Scrap</t>
  </si>
  <si>
    <t>CHG-PLAN-Boiler Tube Scrap</t>
  </si>
  <si>
    <t>CHG-PLAN-External Tundish Scrap</t>
  </si>
  <si>
    <t>CHG-PLAN-Pot Lips Scrap</t>
  </si>
  <si>
    <t>CHG-PLAN-Scrap - Mine Chain</t>
  </si>
  <si>
    <t>CHG-PLAN-Scrap - Flame Cut Plate</t>
  </si>
  <si>
    <t>CHG-PLAN-Scrap - Monopile Plate</t>
  </si>
  <si>
    <t>CHG-PLAN-Scrap - Form Briqs</t>
  </si>
  <si>
    <t>CHG-PLAN-Scrap - Prime Billets</t>
  </si>
  <si>
    <t>EAF-ALUMINUM CONES</t>
  </si>
  <si>
    <t>EAF-Silicon Manganese</t>
  </si>
  <si>
    <t>EAF-CALCIUM ALUMINATE</t>
  </si>
  <si>
    <t>EAF-CALCIUM CARBIDE</t>
  </si>
  <si>
    <t>EAF-EAF ELECTRODE A</t>
  </si>
  <si>
    <t>EAF-EAF ELECTRODE B</t>
  </si>
  <si>
    <t>EAF-EAF ELECTRODE C</t>
  </si>
  <si>
    <t>EAF-Flux - Deox 70</t>
  </si>
  <si>
    <t>EAF-Aluminum 995</t>
  </si>
  <si>
    <t>EAF-OPTA-LD069</t>
  </si>
  <si>
    <t>EAF-OXYGEN</t>
  </si>
  <si>
    <t>EAF-Nat Gas Scfm</t>
  </si>
  <si>
    <t>EAF-HIGH CAL LIME INJ</t>
  </si>
  <si>
    <t>EAF-QL 7/8 x 1/4 Dolo</t>
  </si>
  <si>
    <t>EAF-CELOX EAF</t>
  </si>
  <si>
    <t>EAF-NITROGEN</t>
  </si>
  <si>
    <t>EAF-SAMPLERS</t>
  </si>
  <si>
    <t>EAF-Injection Carbon</t>
  </si>
  <si>
    <t>EAF-Aluminum - Notch Bar</t>
  </si>
  <si>
    <t>EAF-Bagged Lime</t>
  </si>
  <si>
    <t>EAF-Dolo Injection Lime</t>
  </si>
  <si>
    <t>EAF-HC MN</t>
  </si>
  <si>
    <t>EAF-Desulf-9010</t>
  </si>
  <si>
    <t>EAF-Charge Chrome</t>
  </si>
  <si>
    <t>EAF-MC FeMn</t>
  </si>
  <si>
    <t>EAF-CARBON BAGS</t>
  </si>
  <si>
    <t>EAF-Titanium Oxide</t>
  </si>
  <si>
    <t>EAF-HCFeChrome</t>
  </si>
  <si>
    <t xml:space="preserve">EAF-LOW CARBON MANGANESE </t>
  </si>
  <si>
    <t>LMF-ARGON</t>
  </si>
  <si>
    <t>LMF-LMF Bulk Lime</t>
  </si>
  <si>
    <t>LMF-ALUMINUM CONES</t>
  </si>
  <si>
    <t>LMF-HC MN</t>
  </si>
  <si>
    <t>LMF-Silicon Manganese</t>
  </si>
  <si>
    <t>LMF-MC FeMn</t>
  </si>
  <si>
    <t xml:space="preserve">LMF-LOW CARBON MANGANESE </t>
  </si>
  <si>
    <t>LMF-CALCIUM ALUMINATE</t>
  </si>
  <si>
    <t>LMF-ALUMINUM WIRE</t>
  </si>
  <si>
    <t>LMF-CALCIUM WIRE</t>
  </si>
  <si>
    <t>LMF-LC FeMn Wire</t>
  </si>
  <si>
    <t>LMF-Titanium Wire</t>
  </si>
  <si>
    <t>LMF-ALUMINUM SHRED</t>
  </si>
  <si>
    <t>LMF-Carbon Cored Wire</t>
  </si>
  <si>
    <t>LMF-CALCIUM CARBIDE</t>
  </si>
  <si>
    <t>LMF-CELOX LMF</t>
  </si>
  <si>
    <t>LMF-TEMPERATURE PROBES</t>
  </si>
  <si>
    <t>LMF-SAMPLERS</t>
  </si>
  <si>
    <t>LMF-FERRO-COLUMBIUM</t>
  </si>
  <si>
    <t>LMF-CARBON BAGS</t>
  </si>
  <si>
    <t>LMF-Flux - Deox 70</t>
  </si>
  <si>
    <t>LMF-FeB</t>
  </si>
  <si>
    <t>LMF-FE PH</t>
  </si>
  <si>
    <t>LMF-Ferro Silicone</t>
  </si>
  <si>
    <t>LMF-HCFeChrome</t>
  </si>
  <si>
    <t>LMF-FeTi</t>
  </si>
  <si>
    <t>LMF-FerroMoly</t>
  </si>
  <si>
    <t>LMF-Nickel</t>
  </si>
  <si>
    <t>LMF-FeV</t>
  </si>
  <si>
    <t>LMF-LMF Coke</t>
  </si>
  <si>
    <t>LMF-LMF ELECTRODE A</t>
  </si>
  <si>
    <t>LMF-LMF ELECTRODE B</t>
  </si>
  <si>
    <t>LMF-LMF ELECTRODE C</t>
  </si>
  <si>
    <t>LMF-Copper Blocks</t>
  </si>
  <si>
    <t>LMF-Low Carbon FeCr</t>
  </si>
  <si>
    <t>LMF-NITROGEN</t>
  </si>
  <si>
    <t>LMF-16MM LC FeMa</t>
  </si>
  <si>
    <t>LMF-75% FeSi</t>
  </si>
  <si>
    <t>LMF-Aluminum 995</t>
  </si>
  <si>
    <t>LMF-CALSILMJ</t>
  </si>
  <si>
    <t>LMF-Charge Chrome</t>
  </si>
  <si>
    <t>LMF-MgO</t>
  </si>
  <si>
    <t>CST-AHS5C Mold Powder</t>
  </si>
  <si>
    <t>CST-Starter Powder</t>
  </si>
  <si>
    <t>CST-Temp Tip</t>
  </si>
  <si>
    <t>CST-Sample Tip</t>
  </si>
  <si>
    <t>CST-Hydrogen Tip</t>
  </si>
  <si>
    <t>CST-SEN - 15 RHI</t>
  </si>
  <si>
    <t>CST-Ladle Shroud RHI</t>
  </si>
  <si>
    <t>CST-SEN - Trial</t>
  </si>
  <si>
    <t>CST-Vesuvius Edgeport SEN</t>
  </si>
  <si>
    <t>CST-Ladle Shroud - Trial</t>
  </si>
  <si>
    <t>CST-Vesuvius Shroud</t>
  </si>
  <si>
    <t>CST-Trial Mold Powder</t>
  </si>
  <si>
    <t>CST-NLS-02 Mold Powder</t>
  </si>
  <si>
    <t>CST-Mold Powder 225-B</t>
  </si>
  <si>
    <t>CST-Imerys 788-C Mold Powder</t>
  </si>
  <si>
    <t>CST-LBX-77 Mold Powder</t>
  </si>
  <si>
    <t>CST-JPS-2 Tundish Flux</t>
  </si>
  <si>
    <t>CST-JPS-3 Tundish Flux</t>
  </si>
  <si>
    <t>CST-Trial Tundish Flux</t>
  </si>
  <si>
    <t>MaterialListUpdated</t>
  </si>
  <si>
    <t>HeatID2</t>
  </si>
  <si>
    <t>ChemAnalysisID</t>
  </si>
  <si>
    <t>ChemAnalysisTypeID</t>
  </si>
  <si>
    <t>Chem</t>
  </si>
  <si>
    <t>ChemTypeSeq</t>
  </si>
  <si>
    <t>AppliedTime</t>
  </si>
  <si>
    <t>Cr2O3</t>
  </si>
  <si>
    <t>V2O5</t>
  </si>
  <si>
    <t>FeO</t>
  </si>
  <si>
    <t>MnO</t>
  </si>
  <si>
    <t>P2O5</t>
  </si>
  <si>
    <t>SiO2</t>
  </si>
  <si>
    <t>MgO</t>
  </si>
  <si>
    <t>CaO</t>
  </si>
  <si>
    <t>TiO2</t>
  </si>
  <si>
    <t>Al2O3</t>
  </si>
  <si>
    <t>V-RatioEAF</t>
  </si>
  <si>
    <t>V-RatioLMF</t>
  </si>
  <si>
    <t>B3-Ratio</t>
  </si>
  <si>
    <t>SlagSum</t>
  </si>
  <si>
    <t>C</t>
  </si>
  <si>
    <t>Mn</t>
  </si>
  <si>
    <t>P</t>
  </si>
  <si>
    <t>S</t>
  </si>
  <si>
    <t>Si</t>
  </si>
  <si>
    <t>Cu</t>
  </si>
  <si>
    <t>Cr</t>
  </si>
  <si>
    <t>Ni</t>
  </si>
  <si>
    <t>Mo</t>
  </si>
  <si>
    <t>Al</t>
  </si>
  <si>
    <t>Sn</t>
  </si>
  <si>
    <t>Al/N</t>
  </si>
  <si>
    <t>V</t>
  </si>
  <si>
    <t>Nb</t>
  </si>
  <si>
    <t>Ca</t>
  </si>
  <si>
    <t>Ti</t>
  </si>
  <si>
    <t>Sb</t>
  </si>
  <si>
    <t>N</t>
  </si>
  <si>
    <t>B</t>
  </si>
  <si>
    <t>Pb</t>
  </si>
  <si>
    <t>H</t>
  </si>
  <si>
    <t>Spec</t>
  </si>
  <si>
    <t>As</t>
  </si>
  <si>
    <t>O</t>
  </si>
  <si>
    <t>Na</t>
  </si>
  <si>
    <t>W</t>
  </si>
  <si>
    <t>Zn</t>
  </si>
  <si>
    <t>K</t>
  </si>
  <si>
    <t>Mg</t>
  </si>
  <si>
    <t>Ce</t>
  </si>
  <si>
    <t>Spec (IIW)</t>
  </si>
  <si>
    <t>Spec (AWS)</t>
  </si>
  <si>
    <t>Ti/N</t>
  </si>
  <si>
    <t>Ca/S</t>
  </si>
  <si>
    <t>Al*N</t>
  </si>
  <si>
    <t>Hydr</t>
  </si>
  <si>
    <t>SigRes</t>
  </si>
  <si>
    <t>Cu Eq</t>
  </si>
  <si>
    <t>Cu+Ni+Cr</t>
  </si>
  <si>
    <t>V+Nb+Ti</t>
  </si>
  <si>
    <t>Cu+Ni+Cr+Mo</t>
  </si>
  <si>
    <t>G101</t>
  </si>
  <si>
    <t>Cu/Ni</t>
  </si>
  <si>
    <t>Ni/Cu</t>
  </si>
  <si>
    <t>ElementListUpdated</t>
  </si>
  <si>
    <t>Ladle 6</t>
  </si>
  <si>
    <t>LMF South</t>
  </si>
  <si>
    <t>ST-MC (0.17/0.18 - 0.21/0.22)</t>
  </si>
  <si>
    <t>Composite</t>
  </si>
  <si>
    <t>&lt;.0010</t>
  </si>
  <si>
    <t>&lt;.0005</t>
  </si>
  <si>
    <t>&lt;.0001</t>
  </si>
  <si>
    <t>YES</t>
  </si>
  <si>
    <t>Submitted</t>
  </si>
  <si>
    <t>LMF North</t>
  </si>
  <si>
    <t>A</t>
  </si>
  <si>
    <t>MA-Peritectic</t>
  </si>
  <si>
    <t>&lt;.0030</t>
  </si>
  <si>
    <t>Ladle 5</t>
  </si>
  <si>
    <t>APeri</t>
  </si>
  <si>
    <t>EAF7100</t>
  </si>
  <si>
    <t>7100 (AISI 1010)</t>
  </si>
  <si>
    <t>Peri</t>
  </si>
  <si>
    <t>ST-Peritectic</t>
  </si>
  <si>
    <t>&lt;.001</t>
  </si>
  <si>
    <t>9 x 61 x 300</t>
  </si>
  <si>
    <t>9 x 73 x 250</t>
  </si>
  <si>
    <t>SL7100-61-R02</t>
  </si>
  <si>
    <t>SL7100-73-R02</t>
  </si>
  <si>
    <t>EAFMA204</t>
  </si>
  <si>
    <t>S#2 Cast</t>
  </si>
  <si>
    <t>MA204</t>
  </si>
  <si>
    <t>MA204 (MA204 for JSW Baytown)</t>
  </si>
  <si>
    <t>Ladle 11</t>
  </si>
  <si>
    <t>9 x 0 x 0</t>
  </si>
  <si>
    <t>9 x 74 x 330</t>
  </si>
  <si>
    <t>SL-MA204-9-74.8-330</t>
  </si>
  <si>
    <t>AMedC</t>
  </si>
  <si>
    <t>When S is over 0.007; do not add Ca</t>
  </si>
  <si>
    <t>EAFCM302</t>
  </si>
  <si>
    <t>BT; No Opt; last slabs &gt;=276" okay</t>
  </si>
  <si>
    <t>CM302</t>
  </si>
  <si>
    <t>CM302-0</t>
  </si>
  <si>
    <t>CM302-0 (CM302 for JSW Baytown)</t>
  </si>
  <si>
    <t>SL-CM302-9-74.8-330</t>
  </si>
  <si>
    <t xml:space="preserve"> S#2 Cast BT; No Opt; last slabs &gt;=276" okay</t>
  </si>
  <si>
    <t>EAF7268</t>
  </si>
  <si>
    <t>7268 (Signode B0124)</t>
  </si>
  <si>
    <t>SigRes is a sum of Cu; Ni; Cr; Ti; Cb/Nb; Sn; V; B; Ca; Mo. It has to be in the range .15-.42 .</t>
  </si>
  <si>
    <t>ST-HC (greater than 0.22</t>
  </si>
  <si>
    <t>EAF7604</t>
  </si>
  <si>
    <t>7604 (HSLA Gr 55 &gt;= 0.5"; A572-55 Type 1)</t>
  </si>
  <si>
    <t>Reference TWI# JSW-TWI24-LMF005 for Ti Aim</t>
  </si>
  <si>
    <t>Ladle 3</t>
  </si>
  <si>
    <t>When S is over 0.007; do not add Ca S#2 Cast BT; No Opt; last slabs &gt;=276" okay</t>
  </si>
  <si>
    <t>-</t>
  </si>
  <si>
    <t>Ladle 7</t>
  </si>
  <si>
    <t>EAFCM201</t>
  </si>
  <si>
    <t>CM201</t>
  </si>
  <si>
    <t>CM201-2</t>
  </si>
  <si>
    <t>CM201-2 (CM201 for JSW Baytown)</t>
  </si>
  <si>
    <t>SL-CM201-9-74.8-330</t>
  </si>
  <si>
    <t>9 x 61 x 307</t>
  </si>
  <si>
    <t>SL7604-61-R01</t>
  </si>
  <si>
    <t>HRC:Std Opt</t>
  </si>
  <si>
    <t>HRC:Std Opt; WidthChg 73 -&gt;70</t>
  </si>
  <si>
    <t>700 banked furnace | 704 gunned jams and breast | 287 water panel leaking millwrights welding leak | 605 cleaning debris off upper shell and changing b phase | -</t>
  </si>
  <si>
    <t>Heat# from [] to [18329] on EAFStart Already At LMF-S! LMFArrive Ignored Already At LMF-N! LMFArrive Ignored Not at LMF! LMFDepart Ignored</t>
  </si>
  <si>
    <t>18329 (Submitted)</t>
  </si>
  <si>
    <t>9 x 70 x 257</t>
  </si>
  <si>
    <t>SL7100-70-R02</t>
  </si>
  <si>
    <t xml:space="preserve"> HRC:Std Opt HRC:Std Opt; WidthChg 73 -&gt;70</t>
  </si>
  <si>
    <t>Strand 1 Cap-Off</t>
  </si>
  <si>
    <t>Strand 2 restart heat</t>
  </si>
  <si>
    <t>807 pulling and pushing in lane 2 belt is empty letting scrap cranes load | 639 checking  ni</t>
  </si>
  <si>
    <t>Planned down time</t>
  </si>
  <si>
    <t xml:space="preserve">Spray Curve A-Peri 4th temp 2830 5th temp 2841 </t>
  </si>
  <si>
    <t>EAFOrderChanged: Heat [18104] requested HeatID 26553  Forced from Melting to Scheduled by Heat 18104 EAFOrderChanged: Heat [18114] requested HeatID 26553  Forced from Melting to Scheduled by Heat 18114 Heat# from [] to [18115] on EAFStart Already At LMF-N! LMFArrive Ignored Not at LMF! LMFDepart Ignored</t>
  </si>
  <si>
    <t>18115 (Submitted)</t>
  </si>
  <si>
    <t>(R)#6 South broad @8.8m</t>
  </si>
  <si>
    <t>Reference TWI# JSW-TWI24-LMF005 for Ti Aim Strand 1 Cap-Off Strand 2 restart heat</t>
  </si>
  <si>
    <t>8988-1</t>
  </si>
  <si>
    <t>Ladle 1</t>
  </si>
  <si>
    <t>Ladle 10</t>
  </si>
  <si>
    <t>PP111P</t>
  </si>
  <si>
    <t>9 x 73 x 315</t>
  </si>
  <si>
    <t>SL7604-73-R01</t>
  </si>
  <si>
    <t>HRC: No Opt; Last Slab &gt;229" okay</t>
  </si>
  <si>
    <t>S#1 only; restart Seq</t>
  </si>
  <si>
    <t>Reference TWI# JSW-TWI24-LMF005 for Ti Aim HRC: No Opt; Last Slab &gt;229" okay S#1 only; restart Seq</t>
  </si>
  <si>
    <t>BT: Std Opt</t>
  </si>
  <si>
    <t>EAFMA711</t>
  </si>
  <si>
    <t>MA711</t>
  </si>
  <si>
    <t>MA711 (MA711 (TC128 and A612))</t>
  </si>
  <si>
    <t>SL-MA711-9-74.8-330</t>
  </si>
  <si>
    <t>EAF7611</t>
  </si>
  <si>
    <t>7611 (A252/A572-60 KSI Min &gt;= 0.75")</t>
  </si>
  <si>
    <t xml:space="preserve">Reference TWI# JSW-TWI24-LMF005 for Ti Aim HRC:Std Opt </t>
  </si>
  <si>
    <t>MA-MC ((0.17/0.18 - 0.21/0.22)</t>
  </si>
  <si>
    <t>9 x 75 x 301</t>
  </si>
  <si>
    <t>SL-PP111P-9-75.0-301</t>
  </si>
  <si>
    <t>8939-11</t>
  </si>
  <si>
    <t>9046-5</t>
  </si>
  <si>
    <t>When S is over 0.007; do not add Ca  BT: Std Opt</t>
  </si>
  <si>
    <t>EAFCM151</t>
  </si>
  <si>
    <t>CM151</t>
  </si>
  <si>
    <t>CM151-1</t>
  </si>
  <si>
    <t>CM151-1 (CM151 for JSW Baytown)</t>
  </si>
  <si>
    <t>SL-CM151-9-74.8-330</t>
  </si>
  <si>
    <t>9046-2</t>
  </si>
  <si>
    <t>med c</t>
  </si>
  <si>
    <t>A Med C</t>
  </si>
  <si>
    <t>S#2 Cast;</t>
  </si>
  <si>
    <t>BT; No Opt; last slabs &gt;=80" okay</t>
  </si>
  <si>
    <t xml:space="preserve"> S#2 Cast; BT; No Opt; last slabs &gt;=80" okay</t>
  </si>
  <si>
    <t>EAFPP111</t>
  </si>
  <si>
    <t xml:space="preserve">620 running one slag pot | 807 pulled lane 1 and 4 only one cranemen  | 504 - | - </t>
  </si>
  <si>
    <t>EAFOrderChanged: Heat [17940] requested HeatID 27855  Forced from Melting to Scheduled by Heat 17940 Heat# from [] to [17941] on EAFStart Already At LMF-S! LMFArrive Ignored Not at LMF! LMFDepart Ignored Already At LMF-N! LMFArrive Ignored Not at LMF! LMFDepart Ignored Already At LMF-N! LMFArrive Ignored</t>
  </si>
  <si>
    <t>PP111</t>
  </si>
  <si>
    <t>PP111-1</t>
  </si>
  <si>
    <t>PP111-1 (PP111 for JSW Baytown)</t>
  </si>
  <si>
    <t>17941 (Submitted)</t>
  </si>
  <si>
    <t>Max Spec (pcm) is .20 Max Cu+Cr+Mo+Ni is .65</t>
  </si>
  <si>
    <t xml:space="preserve">Max Spec (pcm) is .20 Max Cu+Cr+Mo+Ni is .65 BT: Std Opt </t>
  </si>
  <si>
    <t>374 sander would not work had to sand by hand | 347 Carbon 2 plugged at the block only 3 carbons currently #1 is still down | 637 - | 187 285 crane lost its main hoist and had to get the height reset</t>
  </si>
  <si>
    <t xml:space="preserve">reladle 7:30am </t>
  </si>
  <si>
    <t>added 247.96 tons to "other" loss to capture dumping material.  map 2/2/26.  Changed to 210 due to email from Matt D on 1/14/26</t>
  </si>
  <si>
    <t>Heat# from [] to [17864] on EAFStart Already At LMF-N! LMFArrive Ignored Already At LMF-S! LMFArrive Ignored</t>
  </si>
  <si>
    <t>17864 (Submitted)</t>
  </si>
  <si>
    <t>5after  65 70</t>
  </si>
  <si>
    <t>Heat# from [] to [18124] on EAFStart Already At LMF-N! LMFArrive Ignored</t>
  </si>
  <si>
    <t>18124 (Submitted)</t>
  </si>
  <si>
    <t>382 did not adjust heel weight put us at 38% imeddiately</t>
  </si>
  <si>
    <t>Heat# from [] to [18281] on EAFStart Not at LMF! LMFDepart Ignored</t>
  </si>
  <si>
    <t>18281 (Submitted)</t>
  </si>
  <si>
    <t>HRC:Std Opt; WidthChg 73-&gt;70</t>
  </si>
  <si>
    <t>Caster setup- issue with deburrer on strand 2 and turret drive issues</t>
  </si>
  <si>
    <t>Heat# from [] to [18330] on EAFStart</t>
  </si>
  <si>
    <t>18330 (Submitted)</t>
  </si>
  <si>
    <t>#6S(R)4.6m</t>
  </si>
  <si>
    <t xml:space="preserve"> HRC:Std Opt HRC:Std Opt; WidthChg 73-&gt;70</t>
  </si>
  <si>
    <t>HRC: Std Opt; WidthChg 73-&gt;70</t>
  </si>
  <si>
    <t>807 pulled lines 1 and 2 belt was empty</t>
  </si>
  <si>
    <t>Heat# from [] to [18331] on EAFStart Not at LMF! LMFDepart Ignored</t>
  </si>
  <si>
    <t>18331 (Submitted)</t>
  </si>
  <si>
    <t>Downstream</t>
  </si>
  <si>
    <t>Questionable supply of oxygen and nirogen to the plant due to high winds</t>
  </si>
  <si>
    <t xml:space="preserve"> HRC:Std Opt HRC: Std Opt; WidthChg 73-&gt;70</t>
  </si>
  <si>
    <t>252 unplugging dolo</t>
  </si>
  <si>
    <t>traeshed</t>
  </si>
  <si>
    <t>reladled at 6:30am hot spot ladle #1 traeshed</t>
  </si>
  <si>
    <t>Heat# from [] to [17942] on EAFStart Already At LMF-N! LMFArrive Ignored Already At LMF-N! LMFArrive Ignored Not at LMF! LMFDepart Ignored Already At LMF-N! LMFArrive Ignored Forced LMF Depart by Heat 17941</t>
  </si>
  <si>
    <t>agaudio</t>
  </si>
  <si>
    <t>17942 (Submitted)</t>
  </si>
  <si>
    <t>this heat was in the furnace at the time of the breakout.  Request to move it to</t>
  </si>
  <si>
    <t>Heat# from [] to [18217] on EAFStart  Forced from Melting to Scheduled by Heat 18217 EAFOrderChanged: Heat [18217] requested HeatID 28163  Forced Tapped by Heat 18218</t>
  </si>
  <si>
    <t>18217 (Submitted)</t>
  </si>
  <si>
    <t xml:space="preserve">625 - | 620 placing slag pot; dumped pot; only one in service | -  | - </t>
  </si>
  <si>
    <t>Heat# from [] to [17943] on EAFStart Already At LMF-S! LMFArrive Ignored Heat State Invalid [850] LMFDepart Ignored</t>
  </si>
  <si>
    <t>Daryl</t>
  </si>
  <si>
    <t>17943 (Submitted)</t>
  </si>
  <si>
    <t>9 x 60 x 382</t>
  </si>
  <si>
    <t>SL7611-60-R03</t>
  </si>
  <si>
    <t>Heat# from [] to [17952] on EAFStart Already At LMF-N! LMFArrive Ignored Already At LMF-N! LMFArrive Ignored Not at LMF! LMFDepart Ignored Already At LMF-S! LMFArrive Ignored</t>
  </si>
  <si>
    <t>17952 (Submitted)</t>
  </si>
  <si>
    <t>221 burning scrap out of taphole to sand | 604 changing a phase electrode</t>
  </si>
  <si>
    <t>Caster turn-around and set up; flush HEX system on M/M cooling loop;and refill of E-Tank. (196mins) First heat ordered for 14:25</t>
  </si>
  <si>
    <t>Heat# from [] to [18338] on EAFStart</t>
  </si>
  <si>
    <t>18338 (Submitted)</t>
  </si>
  <si>
    <t>BT:Std Opt</t>
  </si>
  <si>
    <t>704 - | 600 low ppm</t>
  </si>
  <si>
    <t>Caster turn-around and set up (70mins). First heat ordered for 50% arcing on 3rd heat.</t>
  </si>
  <si>
    <t>Heat# from [] to [18181] on EAFStart Already At LMF-S! LMFArrive Ignored</t>
  </si>
  <si>
    <t>18181 (Submitted)</t>
  </si>
  <si>
    <t xml:space="preserve">  BT:Std Opt</t>
  </si>
  <si>
    <t>704 Planned downtime | 700 planned downtime | 605 -</t>
  </si>
  <si>
    <t>Heat# from [] to [18150] on EAFStart Already At LMF-N! LMFArrive Ignored Already At LMF-N! LMFArrive Ignored Forced LMF Depart by Heat 18152</t>
  </si>
  <si>
    <t>18150 (Submitted)</t>
  </si>
  <si>
    <t>9 x 41 x 335</t>
  </si>
  <si>
    <t>9 x 47 x 337</t>
  </si>
  <si>
    <t>SL7268-41-R02</t>
  </si>
  <si>
    <t>SL7268-47-R03</t>
  </si>
  <si>
    <t>SigRes is a sum of Cu; Ni; Cr; Ti; Cb/Nb; Sn; V; B; Ca; Mo. It has to be in the range .15-.42 . HRC:Std Opt HRC:Std Opt</t>
  </si>
  <si>
    <t>9029-1;9031-1</t>
  </si>
  <si>
    <t>Rank</t>
  </si>
  <si>
    <t>newcol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</si>
</sst>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0224-DA89-45D7-B45D-9C9D9647C7BC}">
  <dimension ref="A1:UR16"/>
  <sheetViews>
    <sheetView tabSelected="1" workbookViewId="0"/>
  </sheetViews>
  <sheetFormatPr defaultRowHeight="14.5" x14ac:dyDescent="0.35"/>
  <cols>
    <col min="7" max="7" width="10.6328125" bestFit="1" customWidth="1"/>
    <col min="217" max="217" width="10.08984375" bestFit="1" customWidth="1"/>
  </cols>
  <sheetData>
    <row r="1" spans="1:56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</row>
    <row r="2" spans="1:564" x14ac:dyDescent="0.35">
      <c r="A2">
        <v>26553</v>
      </c>
      <c r="B2">
        <v>18115</v>
      </c>
      <c r="C2">
        <v>850</v>
      </c>
      <c r="D2">
        <v>26062</v>
      </c>
      <c r="G2" t="s">
        <v>609</v>
      </c>
      <c r="H2">
        <v>500000</v>
      </c>
      <c r="L2" t="s">
        <v>631</v>
      </c>
      <c r="M2">
        <v>61</v>
      </c>
      <c r="N2">
        <v>307</v>
      </c>
      <c r="O2" t="s">
        <v>632</v>
      </c>
      <c r="P2">
        <v>1</v>
      </c>
      <c r="S2" s="1">
        <v>46072.443159722221</v>
      </c>
      <c r="U2">
        <v>71</v>
      </c>
      <c r="W2">
        <v>30</v>
      </c>
      <c r="X2">
        <v>495910</v>
      </c>
      <c r="Y2" s="1">
        <v>46072.514062499999</v>
      </c>
      <c r="AB2">
        <v>86486</v>
      </c>
      <c r="AC2">
        <v>257</v>
      </c>
      <c r="AD2">
        <v>707</v>
      </c>
      <c r="AE2">
        <v>262744</v>
      </c>
      <c r="AF2">
        <v>0.05</v>
      </c>
      <c r="AG2">
        <v>716</v>
      </c>
      <c r="AH2">
        <v>2937</v>
      </c>
      <c r="AI2">
        <v>0.05</v>
      </c>
      <c r="AJ2">
        <v>739</v>
      </c>
      <c r="AK2">
        <v>2931</v>
      </c>
      <c r="AL2">
        <v>19</v>
      </c>
      <c r="AM2" t="s">
        <v>633</v>
      </c>
      <c r="AO2" s="1">
        <v>46072.691018518519</v>
      </c>
      <c r="AP2">
        <v>1</v>
      </c>
      <c r="AS2" s="1">
        <v>46072.519942129627</v>
      </c>
      <c r="AT2" s="1">
        <v>46072.690636574072</v>
      </c>
      <c r="AU2">
        <v>49</v>
      </c>
      <c r="AV2">
        <v>235</v>
      </c>
      <c r="AY2">
        <v>504178</v>
      </c>
      <c r="AZ2">
        <v>495210</v>
      </c>
      <c r="BA2">
        <v>205500</v>
      </c>
      <c r="BB2">
        <v>2917</v>
      </c>
      <c r="BC2">
        <v>2900</v>
      </c>
      <c r="BD2">
        <v>0</v>
      </c>
      <c r="BF2" t="s">
        <v>614</v>
      </c>
      <c r="BG2" s="1">
        <v>46072.691157407404</v>
      </c>
      <c r="BH2" s="1">
        <v>46072.698796296296</v>
      </c>
      <c r="BI2" s="1">
        <v>46072.702673611115</v>
      </c>
      <c r="BJ2" s="1">
        <v>46072.804236111115</v>
      </c>
      <c r="BK2">
        <v>1.1000000000000001</v>
      </c>
      <c r="BL2">
        <v>7</v>
      </c>
      <c r="BM2">
        <v>4048</v>
      </c>
      <c r="BR2" t="s">
        <v>634</v>
      </c>
      <c r="BS2" t="s">
        <v>635</v>
      </c>
      <c r="BT2" s="1">
        <v>46072.701574074075</v>
      </c>
      <c r="BU2" s="1">
        <v>46072.755740740744</v>
      </c>
      <c r="BV2" t="b">
        <v>0</v>
      </c>
      <c r="BX2">
        <v>6</v>
      </c>
      <c r="BY2" t="b">
        <v>0</v>
      </c>
      <c r="CD2">
        <v>0.9</v>
      </c>
      <c r="CF2" s="1">
        <v>46072.583518518521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P2">
        <v>3</v>
      </c>
      <c r="CS2">
        <v>2828</v>
      </c>
      <c r="CT2">
        <v>2823</v>
      </c>
      <c r="CU2">
        <v>2818</v>
      </c>
      <c r="CZ2">
        <v>4.2</v>
      </c>
      <c r="DA2">
        <v>5.05</v>
      </c>
      <c r="DB2">
        <v>6.82</v>
      </c>
      <c r="DC2">
        <v>8.66</v>
      </c>
      <c r="DH2">
        <v>4575</v>
      </c>
      <c r="DI2">
        <v>4591</v>
      </c>
      <c r="DJ2">
        <v>417</v>
      </c>
      <c r="DK2">
        <v>417</v>
      </c>
      <c r="DP2">
        <v>4580</v>
      </c>
      <c r="DQ2">
        <v>4588</v>
      </c>
      <c r="DR2">
        <v>416</v>
      </c>
      <c r="DS2">
        <v>416</v>
      </c>
      <c r="DX2">
        <v>4578</v>
      </c>
      <c r="DY2">
        <v>4584</v>
      </c>
      <c r="DZ2">
        <v>417</v>
      </c>
      <c r="EA2">
        <v>415</v>
      </c>
      <c r="EB2" s="1">
        <v>46072.809236111112</v>
      </c>
      <c r="ED2">
        <v>60</v>
      </c>
      <c r="EF2">
        <v>200</v>
      </c>
      <c r="EG2" s="1">
        <v>46072.804236111115</v>
      </c>
      <c r="EJ2" s="1">
        <v>46073.372662037036</v>
      </c>
      <c r="EK2">
        <v>0.03</v>
      </c>
      <c r="EL2">
        <v>1243</v>
      </c>
      <c r="EM2">
        <v>3045</v>
      </c>
      <c r="EN2">
        <v>0.04</v>
      </c>
      <c r="EO2">
        <v>995</v>
      </c>
      <c r="EP2">
        <v>2996</v>
      </c>
      <c r="EQ2">
        <v>11.6</v>
      </c>
      <c r="ER2">
        <v>3</v>
      </c>
      <c r="ES2">
        <v>2917</v>
      </c>
      <c r="ET2">
        <v>0</v>
      </c>
      <c r="EU2">
        <v>0</v>
      </c>
      <c r="EV2">
        <v>2849</v>
      </c>
      <c r="EW2">
        <v>0</v>
      </c>
      <c r="EX2">
        <v>0</v>
      </c>
      <c r="EY2">
        <v>2895</v>
      </c>
      <c r="EZ2">
        <v>0</v>
      </c>
      <c r="FA2">
        <v>0</v>
      </c>
      <c r="FB2">
        <v>2916</v>
      </c>
      <c r="FC2">
        <v>9</v>
      </c>
      <c r="FG2" t="b">
        <v>1</v>
      </c>
      <c r="FI2" t="s">
        <v>571</v>
      </c>
      <c r="FJ2" t="s">
        <v>636</v>
      </c>
      <c r="FK2">
        <v>97</v>
      </c>
      <c r="FL2" s="1">
        <v>46075.308993055558</v>
      </c>
      <c r="FM2">
        <v>88</v>
      </c>
      <c r="FN2">
        <v>7604</v>
      </c>
      <c r="FO2">
        <v>7604</v>
      </c>
      <c r="FP2">
        <v>88</v>
      </c>
      <c r="FQ2">
        <v>7604</v>
      </c>
      <c r="FR2">
        <v>7604</v>
      </c>
      <c r="FS2" t="s">
        <v>610</v>
      </c>
      <c r="FV2" t="s">
        <v>572</v>
      </c>
      <c r="FW2" t="b">
        <v>0</v>
      </c>
      <c r="GA2" t="s">
        <v>637</v>
      </c>
      <c r="GB2">
        <v>18115</v>
      </c>
      <c r="GC2" s="1">
        <v>46072.701574074075</v>
      </c>
      <c r="GD2" t="s">
        <v>593</v>
      </c>
      <c r="GE2" t="s">
        <v>621</v>
      </c>
      <c r="GF2">
        <v>102</v>
      </c>
      <c r="GG2">
        <v>246</v>
      </c>
      <c r="GH2">
        <v>147</v>
      </c>
      <c r="GI2" t="s">
        <v>573</v>
      </c>
      <c r="GJ2">
        <v>247.96</v>
      </c>
      <c r="GL2">
        <v>2117</v>
      </c>
      <c r="GN2" t="s">
        <v>622</v>
      </c>
      <c r="GP2">
        <v>2117</v>
      </c>
      <c r="GR2" t="s">
        <v>622</v>
      </c>
      <c r="GT2">
        <v>1583</v>
      </c>
      <c r="GZ2">
        <v>7.5</v>
      </c>
      <c r="HB2">
        <v>7.5</v>
      </c>
      <c r="HD2">
        <v>60.75</v>
      </c>
      <c r="HF2">
        <v>61</v>
      </c>
      <c r="HI2" s="2">
        <v>46072</v>
      </c>
      <c r="HJ2">
        <v>1</v>
      </c>
      <c r="HK2" t="s">
        <v>574</v>
      </c>
      <c r="HM2">
        <v>1</v>
      </c>
      <c r="HN2">
        <v>2</v>
      </c>
      <c r="HV2">
        <v>1</v>
      </c>
      <c r="HW2" t="b">
        <v>1</v>
      </c>
      <c r="HX2" s="1">
        <v>46072.766759259262</v>
      </c>
      <c r="HY2" t="b">
        <v>0</v>
      </c>
      <c r="IB2">
        <v>2890</v>
      </c>
      <c r="IE2" t="s">
        <v>638</v>
      </c>
      <c r="II2">
        <v>1</v>
      </c>
      <c r="IJ2">
        <v>2775</v>
      </c>
      <c r="IK2">
        <v>53</v>
      </c>
      <c r="IL2">
        <v>48</v>
      </c>
      <c r="IM2">
        <v>43</v>
      </c>
      <c r="IN2" t="s">
        <v>611</v>
      </c>
      <c r="IO2" t="s">
        <v>639</v>
      </c>
      <c r="IP2" t="s">
        <v>639</v>
      </c>
      <c r="IQ2" t="s">
        <v>575</v>
      </c>
      <c r="IT2" t="s">
        <v>640</v>
      </c>
      <c r="IU2" s="1">
        <v>46075.308993055558</v>
      </c>
      <c r="IV2">
        <v>26553</v>
      </c>
      <c r="IW2">
        <v>26553</v>
      </c>
      <c r="IX2">
        <v>26553</v>
      </c>
      <c r="IY2">
        <v>219.83320000000001</v>
      </c>
      <c r="IZ2">
        <v>20.347678999999999</v>
      </c>
      <c r="JA2">
        <v>8.1</v>
      </c>
      <c r="JB2">
        <v>0</v>
      </c>
      <c r="JC2">
        <v>1.200904</v>
      </c>
      <c r="JD2">
        <v>241.38178300000001</v>
      </c>
      <c r="JE2">
        <v>249.48178300000001</v>
      </c>
      <c r="JF2">
        <v>88.115899999999996</v>
      </c>
      <c r="JG2">
        <v>0</v>
      </c>
      <c r="JH2">
        <v>0</v>
      </c>
      <c r="JI2">
        <v>0</v>
      </c>
      <c r="JJ2">
        <v>0</v>
      </c>
      <c r="JK2">
        <v>0</v>
      </c>
      <c r="JL2">
        <v>61</v>
      </c>
      <c r="JM2">
        <v>9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9</v>
      </c>
      <c r="JU2">
        <v>60</v>
      </c>
      <c r="JV2">
        <v>200</v>
      </c>
      <c r="JW2">
        <v>439666.40051299997</v>
      </c>
      <c r="JX2">
        <v>2809</v>
      </c>
      <c r="JY2">
        <v>60.9</v>
      </c>
      <c r="JZ2">
        <v>9.0625</v>
      </c>
      <c r="KA2">
        <v>260</v>
      </c>
      <c r="KB2">
        <v>219.83320000000001</v>
      </c>
      <c r="KC2">
        <v>1.200904</v>
      </c>
      <c r="KD2">
        <v>20.347678999999999</v>
      </c>
      <c r="KE2">
        <v>9391.23675</v>
      </c>
      <c r="KF2">
        <v>31304.122500000001</v>
      </c>
      <c r="KG2">
        <v>1.1000000000000001</v>
      </c>
      <c r="KH2">
        <v>7</v>
      </c>
      <c r="KI2">
        <v>0</v>
      </c>
      <c r="KJ2">
        <v>7604</v>
      </c>
      <c r="KK2">
        <v>0.28360000000000002</v>
      </c>
      <c r="KL2">
        <v>26553</v>
      </c>
      <c r="KM2">
        <v>250040</v>
      </c>
      <c r="KN2">
        <v>63860</v>
      </c>
      <c r="KP2">
        <v>111340</v>
      </c>
      <c r="LD2">
        <v>42220</v>
      </c>
      <c r="LL2">
        <v>28680</v>
      </c>
      <c r="MD2">
        <v>40400</v>
      </c>
      <c r="MP2">
        <v>194568</v>
      </c>
      <c r="MQ2">
        <v>44099</v>
      </c>
      <c r="MS2">
        <v>170883</v>
      </c>
      <c r="NG2">
        <v>44099</v>
      </c>
      <c r="NP2">
        <v>27561</v>
      </c>
      <c r="OG2">
        <v>44099</v>
      </c>
      <c r="OT2">
        <v>3897</v>
      </c>
      <c r="PA2">
        <v>678</v>
      </c>
      <c r="PB2">
        <v>4120</v>
      </c>
      <c r="PC2">
        <v>394826</v>
      </c>
      <c r="PD2">
        <v>42588</v>
      </c>
      <c r="PE2">
        <v>8846</v>
      </c>
      <c r="PG2">
        <v>4</v>
      </c>
      <c r="PI2">
        <v>2</v>
      </c>
      <c r="PJ2">
        <v>7533</v>
      </c>
      <c r="PM2">
        <v>15482</v>
      </c>
      <c r="PS2">
        <v>500</v>
      </c>
      <c r="QK2">
        <v>12</v>
      </c>
      <c r="QM2">
        <v>11</v>
      </c>
      <c r="SE2" s="1">
        <v>46086.322222222225</v>
      </c>
      <c r="SF2">
        <v>26553</v>
      </c>
      <c r="SG2">
        <v>397488</v>
      </c>
      <c r="SH2">
        <v>20</v>
      </c>
      <c r="SI2" t="s">
        <v>567</v>
      </c>
      <c r="SJ2">
        <v>50</v>
      </c>
      <c r="SK2" s="1">
        <v>46073.267222222225</v>
      </c>
      <c r="SZ2">
        <v>7.2999999999999995E-2</v>
      </c>
      <c r="TA2">
        <v>0.92600000000000005</v>
      </c>
      <c r="TB2">
        <v>1.34E-2</v>
      </c>
      <c r="TC2">
        <v>1.6999999999999999E-3</v>
      </c>
      <c r="TD2">
        <v>0.16600000000000001</v>
      </c>
      <c r="TE2">
        <v>0.111</v>
      </c>
      <c r="TF2">
        <v>4.1000000000000002E-2</v>
      </c>
      <c r="TG2">
        <v>7.3999999999999996E-2</v>
      </c>
      <c r="TH2">
        <v>2.4E-2</v>
      </c>
      <c r="TI2">
        <v>2.9000000000000001E-2</v>
      </c>
      <c r="TJ2">
        <v>8.0000000000000002E-3</v>
      </c>
      <c r="TK2">
        <v>3.75325</v>
      </c>
      <c r="TL2">
        <v>4.0000000000000001E-3</v>
      </c>
      <c r="TM2">
        <v>2.81E-2</v>
      </c>
      <c r="TN2">
        <v>2E-3</v>
      </c>
      <c r="TO2">
        <v>2.41E-2</v>
      </c>
      <c r="TP2">
        <v>5.0000000000000001E-3</v>
      </c>
      <c r="TQ2">
        <v>7.7000000000000002E-3</v>
      </c>
      <c r="TR2">
        <v>4.0000000000000002E-4</v>
      </c>
      <c r="TS2" t="s">
        <v>576</v>
      </c>
      <c r="TU2">
        <v>0.13719999999999999</v>
      </c>
      <c r="TV2">
        <v>3.8999999999999998E-3</v>
      </c>
      <c r="UD2">
        <v>0.25</v>
      </c>
      <c r="UE2">
        <v>0.28060000000000002</v>
      </c>
      <c r="UF2">
        <v>3.13</v>
      </c>
      <c r="UH2">
        <v>2.2000000000000001E-4</v>
      </c>
      <c r="UJ2">
        <v>0.2853</v>
      </c>
      <c r="UK2">
        <v>0.18</v>
      </c>
      <c r="UL2">
        <v>0.23</v>
      </c>
      <c r="UM2">
        <v>5.62E-2</v>
      </c>
      <c r="UN2">
        <v>0.25</v>
      </c>
      <c r="UO2">
        <v>3.2216999999999998</v>
      </c>
      <c r="UP2">
        <v>1.5</v>
      </c>
      <c r="UQ2">
        <v>0.67</v>
      </c>
      <c r="UR2" s="1">
        <v>46086.322222222225</v>
      </c>
    </row>
    <row r="3" spans="1:564" x14ac:dyDescent="0.35">
      <c r="A3">
        <v>26554</v>
      </c>
      <c r="B3">
        <v>17952</v>
      </c>
      <c r="C3">
        <v>850</v>
      </c>
      <c r="D3">
        <v>26027</v>
      </c>
      <c r="G3" t="s">
        <v>654</v>
      </c>
      <c r="H3">
        <v>500000</v>
      </c>
      <c r="J3">
        <v>60</v>
      </c>
      <c r="K3">
        <v>382</v>
      </c>
      <c r="L3" t="s">
        <v>623</v>
      </c>
      <c r="P3">
        <v>8</v>
      </c>
      <c r="S3" s="1">
        <v>46058.226840277777</v>
      </c>
      <c r="U3">
        <v>82</v>
      </c>
      <c r="W3">
        <v>7</v>
      </c>
      <c r="X3">
        <v>489622</v>
      </c>
      <c r="Y3" s="1">
        <v>46058.285057870373</v>
      </c>
      <c r="AB3">
        <v>103997</v>
      </c>
      <c r="AC3">
        <v>94</v>
      </c>
      <c r="AD3">
        <v>544</v>
      </c>
      <c r="AE3">
        <v>151960</v>
      </c>
      <c r="AF3">
        <v>0</v>
      </c>
      <c r="AG3">
        <v>0</v>
      </c>
      <c r="AH3">
        <v>2805</v>
      </c>
      <c r="AI3">
        <v>0.05</v>
      </c>
      <c r="AJ3">
        <v>734</v>
      </c>
      <c r="AK3">
        <v>2861</v>
      </c>
      <c r="AO3" s="1">
        <v>46064.54414351852</v>
      </c>
      <c r="AP3">
        <v>2</v>
      </c>
      <c r="AS3" s="1">
        <v>46058.294814814813</v>
      </c>
      <c r="AT3" s="1">
        <v>46058.612303240741</v>
      </c>
      <c r="AU3">
        <v>66</v>
      </c>
      <c r="AV3">
        <v>284</v>
      </c>
      <c r="AY3">
        <v>501814</v>
      </c>
      <c r="AZ3">
        <v>489622</v>
      </c>
      <c r="BA3">
        <v>50670</v>
      </c>
      <c r="BB3">
        <v>2996</v>
      </c>
      <c r="BC3">
        <v>2865</v>
      </c>
      <c r="BG3" s="1">
        <v>46058.613240740742</v>
      </c>
      <c r="BH3" s="1">
        <v>46058.621400462966</v>
      </c>
      <c r="BI3" s="1">
        <v>46058.655300925922</v>
      </c>
      <c r="BJ3" s="1">
        <v>46064.544016203705</v>
      </c>
      <c r="BK3">
        <v>1.1000000000000001</v>
      </c>
      <c r="BM3">
        <v>4018</v>
      </c>
      <c r="BT3" s="1">
        <v>46058.628344907411</v>
      </c>
      <c r="BU3" s="1">
        <v>46058.685983796298</v>
      </c>
      <c r="BV3" t="b">
        <v>0</v>
      </c>
      <c r="BW3">
        <v>7</v>
      </c>
      <c r="BX3">
        <v>1</v>
      </c>
      <c r="BY3" t="b">
        <v>0</v>
      </c>
      <c r="CC3">
        <v>1</v>
      </c>
      <c r="CE3" s="1">
        <v>46058.396365740744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>
        <v>1</v>
      </c>
      <c r="CQ3">
        <v>2</v>
      </c>
      <c r="CS3">
        <v>2816</v>
      </c>
      <c r="CT3">
        <v>2815</v>
      </c>
      <c r="CU3">
        <v>2814</v>
      </c>
      <c r="CV3">
        <v>6.38</v>
      </c>
      <c r="CW3">
        <v>6.65</v>
      </c>
      <c r="CX3">
        <v>8.08</v>
      </c>
      <c r="CY3">
        <v>7.83</v>
      </c>
      <c r="DD3">
        <v>4585</v>
      </c>
      <c r="DE3">
        <v>4584</v>
      </c>
      <c r="DF3">
        <v>416</v>
      </c>
      <c r="DG3">
        <v>417</v>
      </c>
      <c r="EB3" s="1">
        <v>46058.685879629629</v>
      </c>
      <c r="EC3">
        <v>120</v>
      </c>
      <c r="EG3" s="1">
        <v>46064.544016203705</v>
      </c>
      <c r="EJ3" s="1">
        <v>46064.544560185182</v>
      </c>
      <c r="EK3">
        <v>0.04</v>
      </c>
      <c r="EL3">
        <v>965</v>
      </c>
      <c r="EM3">
        <v>2946</v>
      </c>
      <c r="EN3">
        <v>0.04</v>
      </c>
      <c r="EO3">
        <v>870</v>
      </c>
      <c r="EP3">
        <v>2962</v>
      </c>
      <c r="EQ3">
        <v>0</v>
      </c>
      <c r="ER3">
        <v>0</v>
      </c>
      <c r="ES3">
        <v>2996</v>
      </c>
      <c r="ET3">
        <v>0</v>
      </c>
      <c r="EU3">
        <v>0</v>
      </c>
      <c r="EV3">
        <v>2906</v>
      </c>
      <c r="EW3">
        <v>0</v>
      </c>
      <c r="EX3">
        <v>0</v>
      </c>
      <c r="EY3">
        <v>2890</v>
      </c>
      <c r="EZ3">
        <v>0</v>
      </c>
      <c r="FA3">
        <v>0</v>
      </c>
      <c r="FB3">
        <v>2880</v>
      </c>
      <c r="FC3">
        <v>9</v>
      </c>
      <c r="FJ3" t="s">
        <v>722</v>
      </c>
      <c r="FK3">
        <v>237</v>
      </c>
      <c r="FL3" s="1">
        <v>46064.544212962966</v>
      </c>
      <c r="FM3">
        <v>1197</v>
      </c>
      <c r="FN3">
        <v>7611</v>
      </c>
      <c r="FO3">
        <v>7611</v>
      </c>
      <c r="FP3">
        <v>1197</v>
      </c>
      <c r="FQ3">
        <v>7611</v>
      </c>
      <c r="FR3">
        <v>7611</v>
      </c>
      <c r="FS3" t="s">
        <v>655</v>
      </c>
      <c r="FT3" t="s">
        <v>642</v>
      </c>
      <c r="FV3" t="s">
        <v>572</v>
      </c>
      <c r="FW3" t="b">
        <v>0</v>
      </c>
      <c r="GA3" t="s">
        <v>723</v>
      </c>
      <c r="GB3">
        <v>17952</v>
      </c>
      <c r="GC3" s="1">
        <v>46058.628344907411</v>
      </c>
      <c r="GD3" t="s">
        <v>720</v>
      </c>
      <c r="GE3" t="s">
        <v>593</v>
      </c>
      <c r="GF3">
        <v>84</v>
      </c>
      <c r="GG3">
        <v>457</v>
      </c>
      <c r="GH3">
        <v>8480</v>
      </c>
      <c r="GI3" t="s">
        <v>565</v>
      </c>
      <c r="GJ3">
        <v>244.81</v>
      </c>
      <c r="GK3">
        <v>2363</v>
      </c>
      <c r="GM3" t="s">
        <v>721</v>
      </c>
      <c r="GO3">
        <v>2363</v>
      </c>
      <c r="GQ3" t="s">
        <v>721</v>
      </c>
      <c r="HI3" s="2">
        <v>46058</v>
      </c>
      <c r="HK3" t="s">
        <v>519</v>
      </c>
      <c r="HM3">
        <v>2</v>
      </c>
      <c r="HN3">
        <v>1</v>
      </c>
      <c r="HV3">
        <v>1</v>
      </c>
      <c r="HW3" t="b">
        <v>0</v>
      </c>
      <c r="IB3">
        <v>2855</v>
      </c>
      <c r="IJ3">
        <v>2755</v>
      </c>
      <c r="IK3">
        <v>61</v>
      </c>
      <c r="IL3">
        <v>60</v>
      </c>
      <c r="IM3">
        <v>59</v>
      </c>
      <c r="IN3" t="s">
        <v>611</v>
      </c>
      <c r="IO3" t="s">
        <v>656</v>
      </c>
      <c r="IP3" t="s">
        <v>656</v>
      </c>
      <c r="IQ3" t="s">
        <v>657</v>
      </c>
      <c r="IR3">
        <v>11</v>
      </c>
      <c r="IT3">
        <v>8927</v>
      </c>
      <c r="IU3" s="1">
        <v>46058.713587962964</v>
      </c>
      <c r="IV3">
        <v>26554</v>
      </c>
      <c r="IW3">
        <v>27871</v>
      </c>
      <c r="IX3">
        <v>27890</v>
      </c>
      <c r="IY3">
        <v>238.04493400000001</v>
      </c>
      <c r="IZ3">
        <v>9.3473140000000008</v>
      </c>
      <c r="JA3">
        <v>1.1000000000000001</v>
      </c>
      <c r="JB3">
        <v>0</v>
      </c>
      <c r="JC3">
        <v>1.236961</v>
      </c>
      <c r="JD3">
        <v>248.629209</v>
      </c>
      <c r="JE3">
        <v>249.729209</v>
      </c>
      <c r="JF3">
        <v>95.321200000000005</v>
      </c>
      <c r="JG3">
        <v>8</v>
      </c>
      <c r="JH3">
        <v>120</v>
      </c>
      <c r="JI3">
        <v>0</v>
      </c>
      <c r="JJ3">
        <v>476089.86992000003</v>
      </c>
      <c r="JK3">
        <v>3056</v>
      </c>
      <c r="JL3">
        <v>60.2</v>
      </c>
      <c r="JM3">
        <v>9.125</v>
      </c>
      <c r="JN3">
        <v>120</v>
      </c>
      <c r="JO3">
        <v>238.04493400000001</v>
      </c>
      <c r="JP3">
        <v>1.236961</v>
      </c>
      <c r="JQ3">
        <v>9.3473140000000008</v>
      </c>
      <c r="JR3">
        <v>18694.628400000001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60</v>
      </c>
      <c r="JZ3">
        <v>9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1.1000000000000001</v>
      </c>
      <c r="KH3">
        <v>0</v>
      </c>
      <c r="KI3">
        <v>0</v>
      </c>
      <c r="KJ3">
        <v>7611</v>
      </c>
      <c r="KK3">
        <v>0.28360000000000002</v>
      </c>
      <c r="KL3">
        <v>26554</v>
      </c>
      <c r="KM3">
        <v>165340</v>
      </c>
      <c r="KN3">
        <v>39360</v>
      </c>
      <c r="KP3">
        <v>138260</v>
      </c>
      <c r="LD3">
        <v>49360</v>
      </c>
      <c r="LM3">
        <v>27960</v>
      </c>
      <c r="LV3">
        <v>91280</v>
      </c>
      <c r="MD3">
        <v>42060</v>
      </c>
      <c r="MP3">
        <v>165373</v>
      </c>
      <c r="MQ3">
        <v>38587</v>
      </c>
      <c r="MS3">
        <v>132866</v>
      </c>
      <c r="NG3">
        <v>44099</v>
      </c>
      <c r="NP3">
        <v>27562</v>
      </c>
      <c r="NY3">
        <v>93711</v>
      </c>
      <c r="OG3">
        <v>44099</v>
      </c>
      <c r="OT3">
        <v>4017</v>
      </c>
      <c r="PA3">
        <v>363</v>
      </c>
      <c r="PB3">
        <v>4072</v>
      </c>
      <c r="PC3">
        <v>381344</v>
      </c>
      <c r="PD3">
        <v>40938</v>
      </c>
      <c r="PE3">
        <v>9683</v>
      </c>
      <c r="PG3">
        <v>6</v>
      </c>
      <c r="PJ3">
        <v>9561</v>
      </c>
      <c r="PM3">
        <v>11864</v>
      </c>
      <c r="PN3">
        <v>1023</v>
      </c>
      <c r="PS3">
        <v>500</v>
      </c>
      <c r="PW3">
        <v>6582</v>
      </c>
      <c r="PX3">
        <v>959</v>
      </c>
      <c r="PY3">
        <v>3848</v>
      </c>
      <c r="QD3">
        <v>599</v>
      </c>
      <c r="QE3">
        <v>949</v>
      </c>
      <c r="QG3">
        <v>360</v>
      </c>
      <c r="QI3">
        <v>120</v>
      </c>
      <c r="QK3">
        <v>13</v>
      </c>
      <c r="QM3">
        <v>16</v>
      </c>
      <c r="QN3">
        <v>250</v>
      </c>
      <c r="QS3">
        <v>1178</v>
      </c>
      <c r="QT3">
        <v>50</v>
      </c>
      <c r="QV3">
        <v>50</v>
      </c>
      <c r="QY3">
        <v>115</v>
      </c>
      <c r="RL3">
        <v>7</v>
      </c>
      <c r="RN3">
        <v>3</v>
      </c>
      <c r="RO3">
        <v>1</v>
      </c>
      <c r="RP3">
        <v>1</v>
      </c>
      <c r="SD3">
        <v>5</v>
      </c>
      <c r="SE3" s="1">
        <v>46086.322222222225</v>
      </c>
      <c r="SF3">
        <v>26554</v>
      </c>
      <c r="SG3">
        <v>393107</v>
      </c>
      <c r="SH3">
        <v>20</v>
      </c>
      <c r="SI3" t="s">
        <v>567</v>
      </c>
      <c r="SJ3">
        <v>50</v>
      </c>
      <c r="SK3" s="1">
        <v>46058.751134259262</v>
      </c>
      <c r="SZ3">
        <v>0.13600000000000001</v>
      </c>
      <c r="TA3">
        <v>1.226</v>
      </c>
      <c r="TB3">
        <v>1.06E-2</v>
      </c>
      <c r="TC3">
        <v>1.2999999999999999E-3</v>
      </c>
      <c r="TD3">
        <v>0.187</v>
      </c>
      <c r="TE3">
        <v>0.129</v>
      </c>
      <c r="TF3">
        <v>0.109</v>
      </c>
      <c r="TG3">
        <v>8.1000000000000003E-2</v>
      </c>
      <c r="TH3">
        <v>3.5999999999999997E-2</v>
      </c>
      <c r="TI3">
        <v>2.5999999999999999E-2</v>
      </c>
      <c r="TJ3">
        <v>8.0000000000000002E-3</v>
      </c>
      <c r="TK3">
        <v>3.4473699999999998</v>
      </c>
      <c r="TL3">
        <v>6.0000000000000001E-3</v>
      </c>
      <c r="TM3">
        <v>3.61E-2</v>
      </c>
      <c r="TN3">
        <v>2.7000000000000001E-3</v>
      </c>
      <c r="TO3">
        <v>2.3699999999999999E-2</v>
      </c>
      <c r="TP3">
        <v>4.7000000000000002E-3</v>
      </c>
      <c r="TQ3">
        <v>7.6E-3</v>
      </c>
      <c r="TR3">
        <v>2.9999999999999997E-4</v>
      </c>
      <c r="TS3" t="s">
        <v>576</v>
      </c>
      <c r="TU3">
        <v>0.2208</v>
      </c>
      <c r="TV3">
        <v>3.8999999999999998E-3</v>
      </c>
      <c r="UD3">
        <v>0.38</v>
      </c>
      <c r="UE3">
        <v>0.41520000000000001</v>
      </c>
      <c r="UF3">
        <v>3.12</v>
      </c>
      <c r="UH3">
        <v>2.0000000000000001E-4</v>
      </c>
      <c r="UJ3">
        <v>0.38969999999999999</v>
      </c>
      <c r="UK3">
        <v>0.19</v>
      </c>
      <c r="UL3">
        <v>0.32</v>
      </c>
      <c r="UM3">
        <v>6.5799999999999997E-2</v>
      </c>
      <c r="UN3">
        <v>0.35499999999999998</v>
      </c>
      <c r="UO3">
        <v>3.6225000000000001</v>
      </c>
      <c r="UP3">
        <v>1.59</v>
      </c>
      <c r="UQ3">
        <v>0.63</v>
      </c>
      <c r="UR3" s="1">
        <v>46086.322222222225</v>
      </c>
    </row>
    <row r="4" spans="1:564" x14ac:dyDescent="0.35">
      <c r="A4">
        <v>26844</v>
      </c>
      <c r="B4">
        <v>18150</v>
      </c>
      <c r="C4">
        <v>850</v>
      </c>
      <c r="D4">
        <v>26071</v>
      </c>
      <c r="G4" t="s">
        <v>605</v>
      </c>
      <c r="H4">
        <v>500000</v>
      </c>
      <c r="J4">
        <v>41</v>
      </c>
      <c r="K4">
        <v>335</v>
      </c>
      <c r="L4" t="s">
        <v>623</v>
      </c>
      <c r="M4">
        <v>47</v>
      </c>
      <c r="N4">
        <v>337</v>
      </c>
      <c r="O4" t="s">
        <v>623</v>
      </c>
      <c r="P4">
        <v>28</v>
      </c>
      <c r="S4" s="1">
        <v>46075.48269675926</v>
      </c>
      <c r="U4">
        <v>83</v>
      </c>
      <c r="W4">
        <v>37</v>
      </c>
      <c r="X4">
        <v>495910</v>
      </c>
      <c r="Y4" s="1">
        <v>46075.566712962966</v>
      </c>
      <c r="AB4">
        <v>105172</v>
      </c>
      <c r="AC4">
        <v>292</v>
      </c>
      <c r="AD4">
        <v>742</v>
      </c>
      <c r="AE4">
        <v>73980</v>
      </c>
      <c r="AF4">
        <v>0</v>
      </c>
      <c r="AG4">
        <v>844</v>
      </c>
      <c r="AH4">
        <v>32</v>
      </c>
      <c r="AI4">
        <v>0.08</v>
      </c>
      <c r="AJ4">
        <v>463</v>
      </c>
      <c r="AK4">
        <v>2919</v>
      </c>
      <c r="AL4">
        <v>26</v>
      </c>
      <c r="AM4" t="s">
        <v>734</v>
      </c>
      <c r="AO4" s="1">
        <v>46075.572951388887</v>
      </c>
      <c r="AP4">
        <v>2</v>
      </c>
      <c r="AS4" s="1">
        <v>46075.571956018517</v>
      </c>
      <c r="AT4" s="1">
        <v>46075.878680555557</v>
      </c>
      <c r="AU4">
        <v>95</v>
      </c>
      <c r="AV4">
        <v>488</v>
      </c>
      <c r="AY4">
        <v>506423</v>
      </c>
      <c r="AZ4">
        <v>488592</v>
      </c>
      <c r="BA4">
        <v>23580</v>
      </c>
      <c r="BB4">
        <v>2935</v>
      </c>
      <c r="BC4">
        <v>2865</v>
      </c>
      <c r="BD4">
        <v>0</v>
      </c>
      <c r="BG4" s="1">
        <v>46075.879108796296</v>
      </c>
      <c r="BH4" s="1">
        <v>46075.886458333334</v>
      </c>
      <c r="BI4" s="1">
        <v>46075.916921296295</v>
      </c>
      <c r="BJ4" s="1">
        <v>46076.671840277777</v>
      </c>
      <c r="BK4">
        <v>1.1000000000000001</v>
      </c>
      <c r="BM4">
        <v>4057</v>
      </c>
      <c r="BT4" s="1">
        <v>46075.888541666667</v>
      </c>
      <c r="BU4" s="1">
        <v>46075.931597222225</v>
      </c>
      <c r="BV4" t="b">
        <v>0</v>
      </c>
      <c r="BW4">
        <v>6</v>
      </c>
      <c r="BX4">
        <v>9</v>
      </c>
      <c r="BY4" t="b">
        <v>0</v>
      </c>
      <c r="CC4">
        <v>0.9</v>
      </c>
      <c r="CD4">
        <v>0.8</v>
      </c>
      <c r="CE4" s="1">
        <v>46075.688055555554</v>
      </c>
      <c r="CF4" s="1">
        <v>46075.688055555554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>
        <v>2</v>
      </c>
      <c r="CP4">
        <v>5</v>
      </c>
      <c r="CQ4">
        <v>1</v>
      </c>
      <c r="CS4">
        <v>2821</v>
      </c>
      <c r="CT4">
        <v>2797</v>
      </c>
      <c r="CU4">
        <v>2816</v>
      </c>
      <c r="CV4">
        <v>3.27</v>
      </c>
      <c r="CW4">
        <v>2.41</v>
      </c>
      <c r="CX4">
        <v>5.89</v>
      </c>
      <c r="CY4">
        <v>5.87</v>
      </c>
      <c r="CZ4">
        <v>3.4</v>
      </c>
      <c r="DA4">
        <v>3.25</v>
      </c>
      <c r="DB4">
        <v>5.95</v>
      </c>
      <c r="DC4">
        <v>5.77</v>
      </c>
      <c r="DD4">
        <v>4443</v>
      </c>
      <c r="DE4">
        <v>4448</v>
      </c>
      <c r="DF4">
        <v>416</v>
      </c>
      <c r="DG4">
        <v>417</v>
      </c>
      <c r="DH4">
        <v>4451</v>
      </c>
      <c r="DI4">
        <v>4444</v>
      </c>
      <c r="DJ4">
        <v>417</v>
      </c>
      <c r="DK4">
        <v>416</v>
      </c>
      <c r="EB4" s="1">
        <v>46075.931840277779</v>
      </c>
      <c r="EC4">
        <v>120</v>
      </c>
      <c r="ED4">
        <v>120</v>
      </c>
      <c r="EG4" s="1">
        <v>46076.671840277777</v>
      </c>
      <c r="EJ4" s="1">
        <v>46075.974143518521</v>
      </c>
      <c r="EK4">
        <v>0.06</v>
      </c>
      <c r="EL4">
        <v>610</v>
      </c>
      <c r="EM4">
        <v>2991</v>
      </c>
      <c r="EN4">
        <v>0.04</v>
      </c>
      <c r="EO4">
        <v>1054</v>
      </c>
      <c r="EP4">
        <v>3076</v>
      </c>
      <c r="EQ4">
        <v>8.77</v>
      </c>
      <c r="ER4">
        <v>4</v>
      </c>
      <c r="ES4">
        <v>2935</v>
      </c>
      <c r="ET4">
        <v>0</v>
      </c>
      <c r="EU4">
        <v>0</v>
      </c>
      <c r="EV4">
        <v>2916</v>
      </c>
      <c r="EW4">
        <v>0</v>
      </c>
      <c r="EX4">
        <v>0</v>
      </c>
      <c r="EY4">
        <v>2925</v>
      </c>
      <c r="EZ4">
        <v>0</v>
      </c>
      <c r="FA4">
        <v>0</v>
      </c>
      <c r="FB4">
        <v>2906</v>
      </c>
      <c r="FC4">
        <v>7.5</v>
      </c>
      <c r="FG4" t="b">
        <v>1</v>
      </c>
      <c r="FI4" t="s">
        <v>571</v>
      </c>
      <c r="FJ4" t="s">
        <v>735</v>
      </c>
      <c r="FK4">
        <v>97</v>
      </c>
      <c r="FL4" s="1">
        <v>46076.683506944442</v>
      </c>
      <c r="FM4">
        <v>1190</v>
      </c>
      <c r="FN4">
        <v>7268</v>
      </c>
      <c r="FO4">
        <v>7268</v>
      </c>
      <c r="FP4">
        <v>1190</v>
      </c>
      <c r="FQ4">
        <v>7268</v>
      </c>
      <c r="FR4">
        <v>7268</v>
      </c>
      <c r="FS4" t="s">
        <v>606</v>
      </c>
      <c r="FV4" t="s">
        <v>572</v>
      </c>
      <c r="FW4" t="b">
        <v>0</v>
      </c>
      <c r="GA4" t="s">
        <v>736</v>
      </c>
      <c r="GB4">
        <v>18150</v>
      </c>
      <c r="GC4" s="1">
        <v>46075.888541666667</v>
      </c>
      <c r="GD4" t="s">
        <v>737</v>
      </c>
      <c r="GE4" t="s">
        <v>738</v>
      </c>
      <c r="GF4">
        <v>121</v>
      </c>
      <c r="GG4">
        <v>442</v>
      </c>
      <c r="GH4">
        <v>1087</v>
      </c>
      <c r="GI4" t="s">
        <v>565</v>
      </c>
      <c r="GJ4">
        <v>247.96</v>
      </c>
      <c r="GK4">
        <v>2397</v>
      </c>
      <c r="GL4">
        <v>2398</v>
      </c>
      <c r="GM4" t="s">
        <v>739</v>
      </c>
      <c r="GN4" t="s">
        <v>740</v>
      </c>
      <c r="GO4">
        <v>2397</v>
      </c>
      <c r="GP4">
        <v>2398</v>
      </c>
      <c r="GQ4" t="s">
        <v>739</v>
      </c>
      <c r="GR4" t="s">
        <v>740</v>
      </c>
      <c r="GS4">
        <v>1066</v>
      </c>
      <c r="GT4">
        <v>1215</v>
      </c>
      <c r="GU4">
        <v>5.5</v>
      </c>
      <c r="GV4">
        <v>6</v>
      </c>
      <c r="GW4">
        <v>5.6</v>
      </c>
      <c r="GX4">
        <v>6.4</v>
      </c>
      <c r="HC4">
        <v>40.5</v>
      </c>
      <c r="HD4">
        <v>46.5</v>
      </c>
      <c r="HE4">
        <v>41</v>
      </c>
      <c r="HF4">
        <v>47</v>
      </c>
      <c r="HI4" s="2">
        <v>46075</v>
      </c>
      <c r="HJ4" t="s">
        <v>669</v>
      </c>
      <c r="HK4" t="s">
        <v>519</v>
      </c>
      <c r="HM4">
        <v>1</v>
      </c>
      <c r="HN4">
        <v>2</v>
      </c>
      <c r="HV4">
        <v>1</v>
      </c>
      <c r="HW4" t="b">
        <v>0</v>
      </c>
      <c r="IB4">
        <v>2860</v>
      </c>
      <c r="IJ4">
        <v>2748</v>
      </c>
      <c r="IK4">
        <v>73</v>
      </c>
      <c r="IL4">
        <v>49</v>
      </c>
      <c r="IM4">
        <v>68</v>
      </c>
      <c r="IN4" t="s">
        <v>607</v>
      </c>
      <c r="IO4" t="s">
        <v>741</v>
      </c>
      <c r="IP4" t="s">
        <v>741</v>
      </c>
      <c r="IQ4" t="s">
        <v>608</v>
      </c>
      <c r="IT4" t="s">
        <v>742</v>
      </c>
      <c r="IU4" s="1">
        <v>46075.938449074078</v>
      </c>
      <c r="IV4">
        <v>26844</v>
      </c>
      <c r="IW4">
        <v>26844</v>
      </c>
      <c r="IX4">
        <v>28092</v>
      </c>
      <c r="IY4">
        <v>193.77340699999999</v>
      </c>
      <c r="IZ4">
        <v>13.706813</v>
      </c>
      <c r="JA4">
        <v>1.1000000000000001</v>
      </c>
      <c r="JB4">
        <v>0</v>
      </c>
      <c r="JC4">
        <v>1.0374000000000001</v>
      </c>
      <c r="JD4">
        <v>208.51761999999999</v>
      </c>
      <c r="JE4">
        <v>209.61761999999999</v>
      </c>
      <c r="JF4">
        <v>92.441299999999998</v>
      </c>
      <c r="JG4">
        <v>5</v>
      </c>
      <c r="JH4">
        <v>120</v>
      </c>
      <c r="JI4">
        <v>0</v>
      </c>
      <c r="JJ4">
        <v>182775.70494</v>
      </c>
      <c r="JK4">
        <v>1706</v>
      </c>
      <c r="JL4">
        <v>41.4</v>
      </c>
      <c r="JM4">
        <v>9.125</v>
      </c>
      <c r="JN4">
        <v>120</v>
      </c>
      <c r="JO4">
        <v>91.387851999999995</v>
      </c>
      <c r="JP4">
        <v>0.48908000000000001</v>
      </c>
      <c r="JQ4">
        <v>6.4282190000000003</v>
      </c>
      <c r="JR4">
        <v>12856.4388</v>
      </c>
      <c r="JS4">
        <v>0</v>
      </c>
      <c r="JT4">
        <v>5</v>
      </c>
      <c r="JU4">
        <v>120</v>
      </c>
      <c r="JV4">
        <v>0</v>
      </c>
      <c r="JW4">
        <v>204771.11120000001</v>
      </c>
      <c r="JX4">
        <v>1688</v>
      </c>
      <c r="JY4">
        <v>47.2</v>
      </c>
      <c r="JZ4">
        <v>9.0625</v>
      </c>
      <c r="KA4">
        <v>120</v>
      </c>
      <c r="KB4">
        <v>102.385555</v>
      </c>
      <c r="KC4">
        <v>0.54832000000000003</v>
      </c>
      <c r="KD4">
        <v>7.278594</v>
      </c>
      <c r="KE4">
        <v>14557.188</v>
      </c>
      <c r="KF4">
        <v>0</v>
      </c>
      <c r="KG4">
        <v>1.1000000000000001</v>
      </c>
      <c r="KH4">
        <v>0</v>
      </c>
      <c r="KI4">
        <v>0</v>
      </c>
      <c r="KJ4">
        <v>7268</v>
      </c>
      <c r="KK4">
        <v>0.28360000000000002</v>
      </c>
      <c r="KL4">
        <v>26844</v>
      </c>
      <c r="KM4">
        <v>157200</v>
      </c>
      <c r="KN4">
        <v>59140</v>
      </c>
      <c r="KO4">
        <v>54660</v>
      </c>
      <c r="KP4">
        <v>266060</v>
      </c>
      <c r="LD4">
        <v>40440</v>
      </c>
      <c r="LL4">
        <v>30700</v>
      </c>
      <c r="MD4">
        <v>50840</v>
      </c>
      <c r="MP4">
        <v>158371</v>
      </c>
      <c r="MQ4">
        <v>59389</v>
      </c>
      <c r="MR4">
        <v>52790</v>
      </c>
      <c r="MS4">
        <v>248761</v>
      </c>
      <c r="NG4">
        <v>39592</v>
      </c>
      <c r="NP4">
        <v>32994</v>
      </c>
      <c r="OG4">
        <v>52790</v>
      </c>
      <c r="OT4">
        <v>3862</v>
      </c>
      <c r="PA4">
        <v>590</v>
      </c>
      <c r="PB4">
        <v>4065</v>
      </c>
      <c r="PC4">
        <v>481006</v>
      </c>
      <c r="PD4">
        <v>46912</v>
      </c>
      <c r="PE4">
        <v>10570</v>
      </c>
      <c r="PG4">
        <v>4</v>
      </c>
      <c r="PJ4">
        <v>17374</v>
      </c>
      <c r="PM4">
        <v>14465</v>
      </c>
      <c r="PN4">
        <v>2607</v>
      </c>
      <c r="PR4">
        <v>100</v>
      </c>
      <c r="PV4">
        <v>1105</v>
      </c>
      <c r="PW4">
        <v>10622</v>
      </c>
      <c r="PX4">
        <v>1559</v>
      </c>
      <c r="PY4">
        <v>2708</v>
      </c>
      <c r="QC4">
        <v>502</v>
      </c>
      <c r="QD4">
        <v>599</v>
      </c>
      <c r="QE4">
        <v>1898</v>
      </c>
      <c r="QI4">
        <v>350</v>
      </c>
      <c r="QK4">
        <v>28</v>
      </c>
      <c r="QM4">
        <v>25</v>
      </c>
      <c r="QS4">
        <v>1794</v>
      </c>
      <c r="QY4">
        <v>1099</v>
      </c>
      <c r="RM4">
        <v>1</v>
      </c>
      <c r="RT4">
        <v>1</v>
      </c>
      <c r="RX4">
        <v>6</v>
      </c>
      <c r="SD4">
        <v>32</v>
      </c>
      <c r="SE4" s="1">
        <v>46086.322222222225</v>
      </c>
      <c r="SF4">
        <v>26844</v>
      </c>
      <c r="SG4">
        <v>398586</v>
      </c>
      <c r="SH4">
        <v>20</v>
      </c>
      <c r="SI4" t="s">
        <v>567</v>
      </c>
      <c r="SJ4">
        <v>50</v>
      </c>
      <c r="SK4" s="1">
        <v>46075.916944444441</v>
      </c>
      <c r="SZ4">
        <v>0.30399999999999999</v>
      </c>
      <c r="TA4">
        <v>1.147</v>
      </c>
      <c r="TB4">
        <v>1.3100000000000001E-2</v>
      </c>
      <c r="TC4" t="s">
        <v>568</v>
      </c>
      <c r="TD4">
        <v>0.251</v>
      </c>
      <c r="TE4">
        <v>0.14099999999999999</v>
      </c>
      <c r="TF4">
        <v>9.5000000000000001E-2</v>
      </c>
      <c r="TG4">
        <v>6.4000000000000001E-2</v>
      </c>
      <c r="TH4">
        <v>2.1000000000000001E-2</v>
      </c>
      <c r="TI4">
        <v>2.9000000000000001E-2</v>
      </c>
      <c r="TJ4">
        <v>8.0000000000000002E-3</v>
      </c>
      <c r="TK4">
        <v>3.2222200000000001</v>
      </c>
      <c r="TL4">
        <v>5.0000000000000001E-3</v>
      </c>
      <c r="TM4">
        <v>2.0999999999999999E-3</v>
      </c>
      <c r="TN4">
        <v>1.9E-3</v>
      </c>
      <c r="TO4">
        <v>4.0000000000000001E-3</v>
      </c>
      <c r="TP4" t="s">
        <v>569</v>
      </c>
      <c r="TQ4">
        <v>8.9999999999999993E-3</v>
      </c>
      <c r="TR4">
        <v>2.0000000000000001E-4</v>
      </c>
      <c r="TS4" t="s">
        <v>576</v>
      </c>
      <c r="TU4">
        <v>0.38590000000000002</v>
      </c>
      <c r="TV4">
        <v>7.6E-3</v>
      </c>
      <c r="UD4">
        <v>0.53</v>
      </c>
      <c r="UE4">
        <v>0.57530000000000003</v>
      </c>
      <c r="UF4">
        <v>0.44</v>
      </c>
      <c r="UH4">
        <v>2.5999999999999998E-4</v>
      </c>
      <c r="UJ4">
        <v>0.3352</v>
      </c>
      <c r="UK4">
        <v>0.2</v>
      </c>
      <c r="UL4">
        <v>0.3</v>
      </c>
      <c r="UM4">
        <v>1.11E-2</v>
      </c>
      <c r="UN4">
        <v>0.32100000000000001</v>
      </c>
      <c r="UO4">
        <v>3.8927</v>
      </c>
      <c r="UP4">
        <v>2.2000000000000002</v>
      </c>
      <c r="UQ4">
        <v>0.45</v>
      </c>
      <c r="UR4" s="1">
        <v>46086.322222222225</v>
      </c>
    </row>
    <row r="5" spans="1:564" x14ac:dyDescent="0.35">
      <c r="A5">
        <v>26845</v>
      </c>
      <c r="B5">
        <v>18124</v>
      </c>
      <c r="C5">
        <v>850</v>
      </c>
      <c r="D5">
        <v>26067</v>
      </c>
      <c r="G5" t="s">
        <v>588</v>
      </c>
      <c r="H5">
        <v>500000</v>
      </c>
      <c r="M5">
        <v>74.8</v>
      </c>
      <c r="N5">
        <v>330</v>
      </c>
      <c r="O5" t="s">
        <v>649</v>
      </c>
      <c r="P5">
        <v>2</v>
      </c>
      <c r="S5" s="1">
        <v>46073.484259259261</v>
      </c>
      <c r="U5">
        <v>71</v>
      </c>
      <c r="W5">
        <v>9</v>
      </c>
      <c r="X5">
        <v>495910</v>
      </c>
      <c r="Y5" s="1">
        <v>46073.54074074074</v>
      </c>
      <c r="AB5">
        <v>87661</v>
      </c>
      <c r="AC5">
        <v>266</v>
      </c>
      <c r="AD5">
        <v>716</v>
      </c>
      <c r="AE5">
        <v>272157</v>
      </c>
      <c r="AF5">
        <v>0.03</v>
      </c>
      <c r="AG5">
        <v>1252</v>
      </c>
      <c r="AH5">
        <v>2895</v>
      </c>
      <c r="AI5">
        <v>0.04</v>
      </c>
      <c r="AJ5">
        <v>840</v>
      </c>
      <c r="AK5">
        <v>2896</v>
      </c>
      <c r="AO5" s="1">
        <v>46073.546180555553</v>
      </c>
      <c r="AP5">
        <v>1</v>
      </c>
      <c r="AS5" s="1">
        <v>46073.545856481483</v>
      </c>
      <c r="AT5" s="1">
        <v>46073.751608796294</v>
      </c>
      <c r="AU5">
        <v>59</v>
      </c>
      <c r="AV5">
        <v>287</v>
      </c>
      <c r="AY5">
        <v>505490</v>
      </c>
      <c r="AZ5">
        <v>492698</v>
      </c>
      <c r="BA5">
        <v>10550</v>
      </c>
      <c r="BB5">
        <v>2888</v>
      </c>
      <c r="BC5">
        <v>2870</v>
      </c>
      <c r="BF5" t="s">
        <v>688</v>
      </c>
      <c r="BG5" s="1">
        <v>46073.751956018517</v>
      </c>
      <c r="BH5" s="1">
        <v>46073.758993055555</v>
      </c>
      <c r="BI5" s="1">
        <v>46073.762349537035</v>
      </c>
      <c r="BJ5" s="1">
        <v>46073.839930555558</v>
      </c>
      <c r="BK5">
        <v>1.1000000000000001</v>
      </c>
      <c r="BM5">
        <v>4051</v>
      </c>
      <c r="BT5" s="1">
        <v>46073.762465277781</v>
      </c>
      <c r="BU5" s="1">
        <v>46073.808298611111</v>
      </c>
      <c r="BV5" t="b">
        <v>0</v>
      </c>
      <c r="BX5">
        <v>2</v>
      </c>
      <c r="BY5" t="b">
        <v>0</v>
      </c>
      <c r="CD5">
        <v>0.9</v>
      </c>
      <c r="CF5" s="1">
        <v>46073.712048611109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P5">
        <v>5</v>
      </c>
      <c r="CS5">
        <v>2827</v>
      </c>
      <c r="CT5">
        <v>2801</v>
      </c>
      <c r="CU5">
        <v>2814</v>
      </c>
      <c r="CZ5">
        <v>6.74</v>
      </c>
      <c r="DA5">
        <v>6.65</v>
      </c>
      <c r="DB5">
        <v>6.5</v>
      </c>
      <c r="DC5">
        <v>6.03</v>
      </c>
      <c r="DH5">
        <v>4453</v>
      </c>
      <c r="DI5">
        <v>4456</v>
      </c>
      <c r="DJ5">
        <v>416</v>
      </c>
      <c r="DK5">
        <v>417</v>
      </c>
      <c r="EB5" s="1">
        <v>46073.808495370373</v>
      </c>
      <c r="ED5">
        <v>75</v>
      </c>
      <c r="EG5" s="1">
        <v>46073.839930555558</v>
      </c>
      <c r="EJ5" s="1">
        <v>46074.09951388889</v>
      </c>
      <c r="EK5">
        <v>0.04</v>
      </c>
      <c r="EL5">
        <v>978</v>
      </c>
      <c r="EM5">
        <v>2948</v>
      </c>
      <c r="EN5">
        <v>0.04</v>
      </c>
      <c r="EO5">
        <v>824</v>
      </c>
      <c r="EP5">
        <v>2941</v>
      </c>
      <c r="EQ5">
        <v>4.29</v>
      </c>
      <c r="ER5">
        <v>8</v>
      </c>
      <c r="ES5">
        <v>2888</v>
      </c>
      <c r="ET5">
        <v>4.41</v>
      </c>
      <c r="EU5">
        <v>8</v>
      </c>
      <c r="EV5">
        <v>2944</v>
      </c>
      <c r="EW5">
        <v>0</v>
      </c>
      <c r="EX5">
        <v>0</v>
      </c>
      <c r="EY5">
        <v>2951</v>
      </c>
      <c r="EZ5">
        <v>5.57</v>
      </c>
      <c r="FA5">
        <v>6</v>
      </c>
      <c r="FB5">
        <v>2836</v>
      </c>
      <c r="FC5">
        <v>7.8</v>
      </c>
      <c r="FG5" t="b">
        <v>1</v>
      </c>
      <c r="FI5" t="s">
        <v>571</v>
      </c>
      <c r="FJ5" t="s">
        <v>689</v>
      </c>
      <c r="FK5">
        <v>97</v>
      </c>
      <c r="FL5" s="1">
        <v>46074.095706018517</v>
      </c>
      <c r="FM5">
        <v>1206</v>
      </c>
      <c r="FN5" t="s">
        <v>590</v>
      </c>
      <c r="FO5" t="s">
        <v>590</v>
      </c>
      <c r="FP5">
        <v>1206</v>
      </c>
      <c r="FQ5" t="s">
        <v>590</v>
      </c>
      <c r="FR5" t="s">
        <v>590</v>
      </c>
      <c r="FS5" t="s">
        <v>591</v>
      </c>
      <c r="FV5" t="s">
        <v>572</v>
      </c>
      <c r="FW5" t="b">
        <v>0</v>
      </c>
      <c r="GA5" t="s">
        <v>690</v>
      </c>
      <c r="GB5">
        <v>18124</v>
      </c>
      <c r="GC5" s="1">
        <v>46073.762465277781</v>
      </c>
      <c r="GD5" t="s">
        <v>593</v>
      </c>
      <c r="GE5" t="s">
        <v>594</v>
      </c>
      <c r="GF5">
        <v>81</v>
      </c>
      <c r="GG5">
        <v>296</v>
      </c>
      <c r="GH5">
        <v>112</v>
      </c>
      <c r="GI5" t="s">
        <v>573</v>
      </c>
      <c r="GJ5">
        <v>247.96</v>
      </c>
      <c r="GL5">
        <v>1841</v>
      </c>
      <c r="GN5" t="s">
        <v>595</v>
      </c>
      <c r="GP5">
        <v>1841</v>
      </c>
      <c r="GR5" t="s">
        <v>595</v>
      </c>
      <c r="GT5">
        <v>1933</v>
      </c>
      <c r="GV5">
        <v>9.3000000000000007</v>
      </c>
      <c r="GX5">
        <v>9.1999999999999993</v>
      </c>
      <c r="HD5">
        <v>74.88</v>
      </c>
      <c r="HF5">
        <v>75</v>
      </c>
      <c r="HI5" s="2">
        <v>46073</v>
      </c>
      <c r="HK5" t="s">
        <v>519</v>
      </c>
      <c r="HM5">
        <v>1</v>
      </c>
      <c r="HN5">
        <v>2</v>
      </c>
      <c r="HV5">
        <v>1</v>
      </c>
      <c r="HW5" t="b">
        <v>0</v>
      </c>
      <c r="IB5">
        <v>2870</v>
      </c>
      <c r="IJ5">
        <v>2759</v>
      </c>
      <c r="IK5">
        <v>68</v>
      </c>
      <c r="IL5">
        <v>42</v>
      </c>
      <c r="IM5">
        <v>55</v>
      </c>
      <c r="IN5" t="s">
        <v>597</v>
      </c>
      <c r="IO5" t="s">
        <v>662</v>
      </c>
      <c r="IP5" t="s">
        <v>662</v>
      </c>
      <c r="IT5" t="s">
        <v>661</v>
      </c>
      <c r="IU5" s="1">
        <v>46074.095706018517</v>
      </c>
      <c r="IV5">
        <v>26845</v>
      </c>
      <c r="IW5">
        <v>28054</v>
      </c>
      <c r="IX5">
        <v>28053</v>
      </c>
      <c r="IY5">
        <v>222.76815400000001</v>
      </c>
      <c r="IZ5">
        <v>7.1706479999999999</v>
      </c>
      <c r="JA5">
        <v>1.1000000000000001</v>
      </c>
      <c r="JB5">
        <v>0</v>
      </c>
      <c r="JC5">
        <v>1.149694</v>
      </c>
      <c r="JD5">
        <v>231.08849599999999</v>
      </c>
      <c r="JE5">
        <v>232.18849599999999</v>
      </c>
      <c r="JF5">
        <v>95.942800000000005</v>
      </c>
      <c r="JG5">
        <v>0</v>
      </c>
      <c r="JH5">
        <v>0</v>
      </c>
      <c r="JI5">
        <v>0</v>
      </c>
      <c r="JJ5">
        <v>0</v>
      </c>
      <c r="JK5">
        <v>0</v>
      </c>
      <c r="JL5">
        <v>74.8</v>
      </c>
      <c r="JM5">
        <v>9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7</v>
      </c>
      <c r="JU5">
        <v>75</v>
      </c>
      <c r="JV5">
        <v>0</v>
      </c>
      <c r="JW5">
        <v>445536.30900000001</v>
      </c>
      <c r="JX5">
        <v>2330</v>
      </c>
      <c r="JY5">
        <v>74.400000000000006</v>
      </c>
      <c r="JZ5">
        <v>9.0625</v>
      </c>
      <c r="KA5">
        <v>75</v>
      </c>
      <c r="KB5">
        <v>222.76815400000001</v>
      </c>
      <c r="KC5">
        <v>1.149694</v>
      </c>
      <c r="KD5">
        <v>7.1706479999999999</v>
      </c>
      <c r="KE5">
        <v>14341.297500000001</v>
      </c>
      <c r="KF5">
        <v>0</v>
      </c>
      <c r="KG5">
        <v>1.1000000000000001</v>
      </c>
      <c r="KH5">
        <v>0</v>
      </c>
      <c r="KI5">
        <v>0</v>
      </c>
      <c r="KJ5" t="s">
        <v>590</v>
      </c>
      <c r="KK5">
        <v>0.28360000000000002</v>
      </c>
      <c r="KL5">
        <v>26845</v>
      </c>
      <c r="KM5">
        <v>223940</v>
      </c>
      <c r="KN5">
        <v>43180</v>
      </c>
      <c r="KP5">
        <v>20780</v>
      </c>
      <c r="KT5">
        <v>102460</v>
      </c>
      <c r="KW5">
        <v>51460</v>
      </c>
      <c r="LL5">
        <v>22400</v>
      </c>
      <c r="MD5">
        <v>42480</v>
      </c>
      <c r="MP5">
        <v>225711</v>
      </c>
      <c r="MQ5">
        <v>39999</v>
      </c>
      <c r="MS5">
        <v>19999</v>
      </c>
      <c r="MW5">
        <v>99998</v>
      </c>
      <c r="MZ5">
        <v>49999</v>
      </c>
      <c r="NP5">
        <v>24999</v>
      </c>
      <c r="OG5">
        <v>39999</v>
      </c>
      <c r="PA5">
        <v>595</v>
      </c>
      <c r="PB5">
        <v>4012</v>
      </c>
      <c r="PC5">
        <v>364490</v>
      </c>
      <c r="PD5">
        <v>39580</v>
      </c>
      <c r="PE5">
        <v>7773</v>
      </c>
      <c r="PG5">
        <v>5</v>
      </c>
      <c r="PJ5">
        <v>4785</v>
      </c>
      <c r="PM5">
        <v>15415</v>
      </c>
      <c r="PN5">
        <v>5210</v>
      </c>
      <c r="PS5">
        <v>500</v>
      </c>
      <c r="PW5">
        <v>4386</v>
      </c>
      <c r="PX5">
        <v>1047</v>
      </c>
      <c r="PY5">
        <v>7696</v>
      </c>
      <c r="QD5">
        <v>799</v>
      </c>
      <c r="QE5">
        <v>949</v>
      </c>
      <c r="QI5">
        <v>499</v>
      </c>
      <c r="QK5">
        <v>11</v>
      </c>
      <c r="QM5">
        <v>11</v>
      </c>
      <c r="QN5">
        <v>300</v>
      </c>
      <c r="QW5">
        <v>230</v>
      </c>
      <c r="QX5">
        <v>400</v>
      </c>
      <c r="SE5" s="1">
        <v>46086.322222222225</v>
      </c>
      <c r="SF5">
        <v>26845</v>
      </c>
      <c r="SG5">
        <v>397823</v>
      </c>
      <c r="SH5">
        <v>20</v>
      </c>
      <c r="SI5" t="s">
        <v>567</v>
      </c>
      <c r="SJ5">
        <v>50</v>
      </c>
      <c r="SK5" s="1">
        <v>46073.834108796298</v>
      </c>
      <c r="SZ5">
        <v>0.17299999999999999</v>
      </c>
      <c r="TA5">
        <v>1.3260000000000001</v>
      </c>
      <c r="TB5">
        <v>1.0500000000000001E-2</v>
      </c>
      <c r="TC5" t="s">
        <v>568</v>
      </c>
      <c r="TD5">
        <v>2.5000000000000001E-2</v>
      </c>
      <c r="TE5">
        <v>0.11</v>
      </c>
      <c r="TF5">
        <v>4.1000000000000002E-2</v>
      </c>
      <c r="TG5">
        <v>8.6999999999999994E-2</v>
      </c>
      <c r="TH5">
        <v>7.0000000000000001E-3</v>
      </c>
      <c r="TI5">
        <v>3.1E-2</v>
      </c>
      <c r="TJ5">
        <v>8.0000000000000002E-3</v>
      </c>
      <c r="TK5">
        <v>3.3333300000000001</v>
      </c>
      <c r="TL5">
        <v>6.2E-2</v>
      </c>
      <c r="TM5">
        <v>4.1599999999999998E-2</v>
      </c>
      <c r="TN5">
        <v>2.3E-3</v>
      </c>
      <c r="TO5">
        <v>3.3999999999999998E-3</v>
      </c>
      <c r="TP5" t="s">
        <v>569</v>
      </c>
      <c r="TQ5">
        <v>9.2999999999999992E-3</v>
      </c>
      <c r="TR5" t="s">
        <v>570</v>
      </c>
      <c r="TS5" t="s">
        <v>576</v>
      </c>
      <c r="TU5">
        <v>0.25590000000000002</v>
      </c>
      <c r="TV5">
        <v>7.6E-3</v>
      </c>
      <c r="UD5">
        <v>0.43</v>
      </c>
      <c r="UE5">
        <v>0.433</v>
      </c>
      <c r="UF5">
        <v>0.37</v>
      </c>
      <c r="UH5">
        <v>2.9E-4</v>
      </c>
      <c r="UJ5">
        <v>0.2586</v>
      </c>
      <c r="UK5">
        <v>0.17</v>
      </c>
      <c r="UL5">
        <v>0.24</v>
      </c>
      <c r="UM5">
        <v>0.107</v>
      </c>
      <c r="UN5">
        <v>0.245</v>
      </c>
      <c r="UO5">
        <v>2.9851000000000001</v>
      </c>
      <c r="UP5">
        <v>1.26</v>
      </c>
      <c r="UQ5">
        <v>0.79</v>
      </c>
      <c r="UR5" s="1">
        <v>46086.322222222225</v>
      </c>
    </row>
    <row r="6" spans="1:564" x14ac:dyDescent="0.35">
      <c r="A6">
        <v>26846</v>
      </c>
      <c r="B6">
        <v>18181</v>
      </c>
      <c r="C6">
        <v>850</v>
      </c>
      <c r="D6">
        <v>26075</v>
      </c>
      <c r="G6" t="s">
        <v>663</v>
      </c>
      <c r="H6">
        <v>500000</v>
      </c>
      <c r="M6">
        <v>74.8</v>
      </c>
      <c r="N6">
        <v>330</v>
      </c>
      <c r="O6" t="s">
        <v>728</v>
      </c>
      <c r="P6">
        <v>11</v>
      </c>
      <c r="S6" s="1">
        <v>46077.928564814814</v>
      </c>
      <c r="U6">
        <v>68</v>
      </c>
      <c r="W6">
        <v>30</v>
      </c>
      <c r="X6">
        <v>540768</v>
      </c>
      <c r="Y6" s="1">
        <v>46077.996701388889</v>
      </c>
      <c r="AB6">
        <v>90953</v>
      </c>
      <c r="AC6">
        <v>323</v>
      </c>
      <c r="AD6">
        <v>773</v>
      </c>
      <c r="AE6">
        <v>170380</v>
      </c>
      <c r="AF6">
        <v>0.23</v>
      </c>
      <c r="AG6">
        <v>153</v>
      </c>
      <c r="AH6">
        <v>2892</v>
      </c>
      <c r="AI6">
        <v>0.13</v>
      </c>
      <c r="AJ6">
        <v>273</v>
      </c>
      <c r="AK6">
        <v>2933</v>
      </c>
      <c r="AL6">
        <v>20</v>
      </c>
      <c r="AM6" t="s">
        <v>729</v>
      </c>
      <c r="AO6" s="1">
        <v>46078.074965277781</v>
      </c>
      <c r="AP6">
        <v>2</v>
      </c>
      <c r="AS6" s="1">
        <v>46078.001134259262</v>
      </c>
      <c r="AT6" s="1">
        <v>46078.095173611109</v>
      </c>
      <c r="AU6">
        <v>28</v>
      </c>
      <c r="AV6">
        <v>125</v>
      </c>
      <c r="AY6">
        <v>524946</v>
      </c>
      <c r="AZ6">
        <v>518315</v>
      </c>
      <c r="BA6">
        <v>2700</v>
      </c>
      <c r="BB6">
        <v>2865</v>
      </c>
      <c r="BC6">
        <v>2880</v>
      </c>
      <c r="BD6">
        <v>0</v>
      </c>
      <c r="BG6" s="1">
        <v>46078.095879629633</v>
      </c>
      <c r="BH6" s="1">
        <v>46078.102534722224</v>
      </c>
      <c r="BI6" s="1">
        <v>46078.110439814816</v>
      </c>
      <c r="BJ6" s="1">
        <v>46078.186863425923</v>
      </c>
      <c r="BK6">
        <v>1.1000000000000001</v>
      </c>
      <c r="BM6">
        <v>4062</v>
      </c>
      <c r="BQ6">
        <v>112</v>
      </c>
      <c r="BR6" t="s">
        <v>730</v>
      </c>
      <c r="BT6" s="1">
        <v>46078.107395833336</v>
      </c>
      <c r="BU6" s="1">
        <v>46078.154618055552</v>
      </c>
      <c r="BV6" t="b">
        <v>1</v>
      </c>
      <c r="BX6">
        <v>7</v>
      </c>
      <c r="BY6" t="b">
        <v>0</v>
      </c>
      <c r="BZ6">
        <v>1</v>
      </c>
      <c r="CD6">
        <v>0.9</v>
      </c>
      <c r="CF6" s="1">
        <v>46077.96434027778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P6">
        <v>3</v>
      </c>
      <c r="CS6">
        <v>2801</v>
      </c>
      <c r="CT6">
        <v>2819</v>
      </c>
      <c r="CU6">
        <v>2815</v>
      </c>
      <c r="CZ6">
        <v>6.16</v>
      </c>
      <c r="DA6">
        <v>6.96</v>
      </c>
      <c r="DB6">
        <v>7.62</v>
      </c>
      <c r="DC6">
        <v>7.4</v>
      </c>
      <c r="DH6">
        <v>4450</v>
      </c>
      <c r="DI6">
        <v>4442</v>
      </c>
      <c r="DJ6">
        <v>415</v>
      </c>
      <c r="DK6">
        <v>416</v>
      </c>
      <c r="DP6">
        <v>4448</v>
      </c>
      <c r="DQ6">
        <v>4445</v>
      </c>
      <c r="DR6">
        <v>415</v>
      </c>
      <c r="DS6">
        <v>417</v>
      </c>
      <c r="DX6">
        <v>4436</v>
      </c>
      <c r="DY6">
        <v>4445</v>
      </c>
      <c r="DZ6">
        <v>418</v>
      </c>
      <c r="EA6">
        <v>415</v>
      </c>
      <c r="EB6" s="1">
        <v>46078.167569444442</v>
      </c>
      <c r="ED6">
        <v>30</v>
      </c>
      <c r="EG6" s="1">
        <v>46078.186863425923</v>
      </c>
      <c r="EJ6" s="1">
        <v>46078.378344907411</v>
      </c>
      <c r="EK6">
        <v>0.08</v>
      </c>
      <c r="EL6">
        <v>462</v>
      </c>
      <c r="EM6">
        <v>3005</v>
      </c>
      <c r="EN6">
        <v>0.05</v>
      </c>
      <c r="EO6">
        <v>715</v>
      </c>
      <c r="EP6">
        <v>3034</v>
      </c>
      <c r="EQ6">
        <v>0</v>
      </c>
      <c r="ER6">
        <v>0</v>
      </c>
      <c r="ES6">
        <v>2865</v>
      </c>
      <c r="ET6">
        <v>0</v>
      </c>
      <c r="EU6">
        <v>0</v>
      </c>
      <c r="EV6">
        <v>32</v>
      </c>
      <c r="EW6">
        <v>0.81</v>
      </c>
      <c r="EX6">
        <v>44</v>
      </c>
      <c r="EY6">
        <v>2971</v>
      </c>
      <c r="EZ6">
        <v>11.39</v>
      </c>
      <c r="FA6">
        <v>3</v>
      </c>
      <c r="FB6">
        <v>2880</v>
      </c>
      <c r="FC6">
        <v>7.5</v>
      </c>
      <c r="FG6" t="b">
        <v>1</v>
      </c>
      <c r="FI6" t="s">
        <v>571</v>
      </c>
      <c r="FJ6" t="s">
        <v>731</v>
      </c>
      <c r="FK6">
        <v>114</v>
      </c>
      <c r="FL6" s="1">
        <v>46078.377905092595</v>
      </c>
      <c r="FM6">
        <v>133</v>
      </c>
      <c r="FN6" t="s">
        <v>664</v>
      </c>
      <c r="FO6" t="s">
        <v>664</v>
      </c>
      <c r="FP6">
        <v>133</v>
      </c>
      <c r="FQ6" t="s">
        <v>664</v>
      </c>
      <c r="FR6" t="s">
        <v>665</v>
      </c>
      <c r="FS6" t="s">
        <v>666</v>
      </c>
      <c r="FT6" t="s">
        <v>592</v>
      </c>
      <c r="FV6" t="s">
        <v>572</v>
      </c>
      <c r="FW6" t="b">
        <v>0</v>
      </c>
      <c r="GA6" t="s">
        <v>732</v>
      </c>
      <c r="GB6">
        <v>18181</v>
      </c>
      <c r="GC6" s="1">
        <v>46078.107395833336</v>
      </c>
      <c r="GD6" t="s">
        <v>593</v>
      </c>
      <c r="GE6" t="s">
        <v>594</v>
      </c>
      <c r="GF6">
        <v>98</v>
      </c>
      <c r="GG6">
        <v>136</v>
      </c>
      <c r="GH6">
        <v>110</v>
      </c>
      <c r="GI6" t="s">
        <v>565</v>
      </c>
      <c r="GJ6">
        <v>270.38</v>
      </c>
      <c r="GL6">
        <v>56</v>
      </c>
      <c r="GN6" t="s">
        <v>667</v>
      </c>
      <c r="GP6">
        <v>56</v>
      </c>
      <c r="GR6" t="s">
        <v>667</v>
      </c>
      <c r="GT6">
        <v>1940</v>
      </c>
      <c r="GV6">
        <v>10.6</v>
      </c>
      <c r="GX6">
        <v>10.4</v>
      </c>
      <c r="HD6">
        <v>74.75</v>
      </c>
      <c r="HF6">
        <v>75</v>
      </c>
      <c r="HI6" s="2">
        <v>46078</v>
      </c>
      <c r="HJ6" t="s">
        <v>578</v>
      </c>
      <c r="HK6" t="s">
        <v>537</v>
      </c>
      <c r="HM6">
        <v>1</v>
      </c>
      <c r="HN6">
        <v>1</v>
      </c>
      <c r="HV6">
        <v>1</v>
      </c>
      <c r="HW6" t="b">
        <v>0</v>
      </c>
      <c r="IB6">
        <v>2875</v>
      </c>
      <c r="IJ6">
        <v>2762</v>
      </c>
      <c r="IK6">
        <v>39</v>
      </c>
      <c r="IL6">
        <v>57</v>
      </c>
      <c r="IM6">
        <v>53</v>
      </c>
      <c r="IO6" t="s">
        <v>733</v>
      </c>
      <c r="IP6" t="s">
        <v>733</v>
      </c>
      <c r="IQ6" t="s">
        <v>582</v>
      </c>
      <c r="IR6">
        <v>12</v>
      </c>
      <c r="IT6" t="s">
        <v>668</v>
      </c>
      <c r="IU6" s="1">
        <v>46078.110509259262</v>
      </c>
      <c r="IV6">
        <v>26846</v>
      </c>
      <c r="IW6">
        <v>26846</v>
      </c>
      <c r="IX6">
        <v>28114</v>
      </c>
      <c r="IY6">
        <v>222.62898200000001</v>
      </c>
      <c r="IZ6">
        <v>2.8875350000000002</v>
      </c>
      <c r="JA6">
        <v>1.1000000000000001</v>
      </c>
      <c r="JB6">
        <v>0</v>
      </c>
      <c r="JC6">
        <v>1.1275820000000001</v>
      </c>
      <c r="JD6">
        <v>226.64409900000001</v>
      </c>
      <c r="JE6">
        <v>227.74409900000001</v>
      </c>
      <c r="JF6">
        <v>97.754000000000005</v>
      </c>
      <c r="JG6">
        <v>0</v>
      </c>
      <c r="JH6">
        <v>0</v>
      </c>
      <c r="JI6">
        <v>0</v>
      </c>
      <c r="JJ6">
        <v>0</v>
      </c>
      <c r="JK6">
        <v>0</v>
      </c>
      <c r="JL6">
        <v>74.8</v>
      </c>
      <c r="JM6">
        <v>9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7</v>
      </c>
      <c r="JU6">
        <v>30</v>
      </c>
      <c r="JV6">
        <v>0</v>
      </c>
      <c r="JW6">
        <v>445257.96446300001</v>
      </c>
      <c r="JX6">
        <v>2313</v>
      </c>
      <c r="JY6">
        <v>74.900000000000006</v>
      </c>
      <c r="JZ6">
        <v>9.0625</v>
      </c>
      <c r="KA6">
        <v>30</v>
      </c>
      <c r="KB6">
        <v>222.62898200000001</v>
      </c>
      <c r="KC6">
        <v>1.1275820000000001</v>
      </c>
      <c r="KD6">
        <v>2.8875350000000002</v>
      </c>
      <c r="KE6">
        <v>5775.0708750000003</v>
      </c>
      <c r="KF6">
        <v>0</v>
      </c>
      <c r="KG6">
        <v>1.1000000000000001</v>
      </c>
      <c r="KH6">
        <v>0</v>
      </c>
      <c r="KI6">
        <v>0</v>
      </c>
      <c r="KJ6" t="s">
        <v>664</v>
      </c>
      <c r="KK6">
        <v>0.28360000000000002</v>
      </c>
      <c r="KL6">
        <v>26846</v>
      </c>
      <c r="KM6">
        <v>25440</v>
      </c>
      <c r="KN6">
        <v>41700</v>
      </c>
      <c r="KO6">
        <v>96340</v>
      </c>
      <c r="KP6">
        <v>200120</v>
      </c>
      <c r="KT6">
        <v>71180</v>
      </c>
      <c r="KW6">
        <v>37560</v>
      </c>
      <c r="KX6">
        <v>27520</v>
      </c>
      <c r="MD6">
        <v>43400</v>
      </c>
      <c r="MP6">
        <v>43999</v>
      </c>
      <c r="MQ6">
        <v>38499</v>
      </c>
      <c r="MR6">
        <v>93499</v>
      </c>
      <c r="MS6">
        <v>197698</v>
      </c>
      <c r="MW6">
        <v>76999</v>
      </c>
      <c r="MZ6">
        <v>27499</v>
      </c>
      <c r="NP6">
        <v>27499</v>
      </c>
      <c r="OG6">
        <v>43999</v>
      </c>
      <c r="OT6">
        <v>4005</v>
      </c>
      <c r="PA6">
        <v>700</v>
      </c>
      <c r="PB6">
        <v>4059</v>
      </c>
      <c r="PC6">
        <v>446905</v>
      </c>
      <c r="PD6">
        <v>41987</v>
      </c>
      <c r="PE6">
        <v>11147</v>
      </c>
      <c r="PG6">
        <v>5</v>
      </c>
      <c r="PJ6">
        <v>9945</v>
      </c>
      <c r="PM6">
        <v>15833</v>
      </c>
      <c r="PN6">
        <v>1824</v>
      </c>
      <c r="PR6">
        <v>100</v>
      </c>
      <c r="PV6">
        <v>4001</v>
      </c>
      <c r="PW6">
        <v>3512</v>
      </c>
      <c r="PX6">
        <v>762</v>
      </c>
      <c r="PY6">
        <v>1803</v>
      </c>
      <c r="QD6">
        <v>499</v>
      </c>
      <c r="QE6">
        <v>949</v>
      </c>
      <c r="QI6">
        <v>400</v>
      </c>
      <c r="QK6">
        <v>11</v>
      </c>
      <c r="QM6">
        <v>9</v>
      </c>
      <c r="QS6">
        <v>594</v>
      </c>
      <c r="QW6">
        <v>180</v>
      </c>
      <c r="QY6">
        <v>200</v>
      </c>
      <c r="SE6" s="1">
        <v>46086.322222222225</v>
      </c>
      <c r="SF6">
        <v>26846</v>
      </c>
      <c r="SG6">
        <v>399392</v>
      </c>
      <c r="SH6">
        <v>20</v>
      </c>
      <c r="SI6" t="s">
        <v>567</v>
      </c>
      <c r="SJ6">
        <v>50</v>
      </c>
      <c r="SK6" s="1">
        <v>46078.151770833334</v>
      </c>
      <c r="SZ6">
        <v>0.14799999999999999</v>
      </c>
      <c r="TA6">
        <v>1.0760000000000001</v>
      </c>
      <c r="TB6">
        <v>1.0699999999999999E-2</v>
      </c>
      <c r="TC6">
        <v>1.1999999999999999E-3</v>
      </c>
      <c r="TD6">
        <v>0.183</v>
      </c>
      <c r="TE6">
        <v>0.17299999999999999</v>
      </c>
      <c r="TF6">
        <v>7.3999999999999996E-2</v>
      </c>
      <c r="TG6">
        <v>0.10199999999999999</v>
      </c>
      <c r="TH6">
        <v>1.2999999999999999E-2</v>
      </c>
      <c r="TI6">
        <v>3.6999999999999998E-2</v>
      </c>
      <c r="TJ6">
        <v>8.0000000000000002E-3</v>
      </c>
      <c r="TK6">
        <v>4.3058800000000002</v>
      </c>
      <c r="TL6">
        <v>3.0000000000000001E-3</v>
      </c>
      <c r="TM6">
        <v>1.1999999999999999E-3</v>
      </c>
      <c r="TN6">
        <v>2.3999999999999998E-3</v>
      </c>
      <c r="TO6">
        <v>1.6000000000000001E-3</v>
      </c>
      <c r="TP6" t="s">
        <v>569</v>
      </c>
      <c r="TQ6">
        <v>8.5000000000000006E-3</v>
      </c>
      <c r="TR6" t="s">
        <v>570</v>
      </c>
      <c r="TS6" t="s">
        <v>576</v>
      </c>
      <c r="TU6">
        <v>0.22339999999999999</v>
      </c>
      <c r="TV6">
        <v>7.9000000000000008E-3</v>
      </c>
      <c r="UD6">
        <v>0.36</v>
      </c>
      <c r="UE6">
        <v>0.39450000000000002</v>
      </c>
      <c r="UF6">
        <v>0.19</v>
      </c>
      <c r="UH6">
        <v>3.1E-4</v>
      </c>
      <c r="UJ6">
        <v>0.37409999999999999</v>
      </c>
      <c r="UK6">
        <v>0.24</v>
      </c>
      <c r="UL6">
        <v>0.35</v>
      </c>
      <c r="UM6">
        <v>5.7999999999999996E-3</v>
      </c>
      <c r="UN6">
        <v>0.36199999999999999</v>
      </c>
      <c r="UO6">
        <v>4.3044000000000002</v>
      </c>
      <c r="UP6">
        <v>1.7</v>
      </c>
      <c r="UQ6">
        <v>0.59</v>
      </c>
      <c r="UR6" s="1">
        <v>46086.322222222225</v>
      </c>
    </row>
    <row r="7" spans="1:564" x14ac:dyDescent="0.35">
      <c r="A7">
        <v>26848</v>
      </c>
      <c r="B7">
        <v>18281</v>
      </c>
      <c r="C7">
        <v>850</v>
      </c>
      <c r="D7">
        <v>26093</v>
      </c>
      <c r="G7" t="s">
        <v>650</v>
      </c>
      <c r="H7">
        <v>500000</v>
      </c>
      <c r="L7" t="s">
        <v>589</v>
      </c>
      <c r="M7">
        <v>74.8</v>
      </c>
      <c r="N7">
        <v>330</v>
      </c>
      <c r="O7" t="s">
        <v>599</v>
      </c>
      <c r="P7">
        <v>2</v>
      </c>
      <c r="S7" s="1">
        <v>46089.125034722223</v>
      </c>
      <c r="U7">
        <v>59</v>
      </c>
      <c r="W7">
        <v>14</v>
      </c>
      <c r="Y7" s="1">
        <v>46089.175868055558</v>
      </c>
      <c r="AB7">
        <v>82524</v>
      </c>
      <c r="AC7">
        <v>65</v>
      </c>
      <c r="AD7">
        <v>873</v>
      </c>
      <c r="AE7">
        <v>206000</v>
      </c>
      <c r="AF7">
        <v>0.05</v>
      </c>
      <c r="AG7">
        <v>720</v>
      </c>
      <c r="AH7">
        <v>2979</v>
      </c>
      <c r="AI7">
        <v>0.06</v>
      </c>
      <c r="AJ7">
        <v>654</v>
      </c>
      <c r="AK7">
        <v>3009</v>
      </c>
      <c r="AL7">
        <v>4</v>
      </c>
      <c r="AM7" t="s">
        <v>691</v>
      </c>
      <c r="AO7" s="1">
        <v>46089.310208333336</v>
      </c>
      <c r="AP7">
        <v>1</v>
      </c>
      <c r="AS7" s="1">
        <v>46089.180254629631</v>
      </c>
      <c r="AT7" s="1">
        <v>46089.310069444444</v>
      </c>
      <c r="AU7">
        <v>27</v>
      </c>
      <c r="AV7">
        <v>178</v>
      </c>
      <c r="AY7">
        <v>495743</v>
      </c>
      <c r="AZ7">
        <v>481315</v>
      </c>
      <c r="BA7">
        <v>2720</v>
      </c>
      <c r="BB7">
        <v>2971</v>
      </c>
      <c r="BC7">
        <v>2860</v>
      </c>
      <c r="BD7">
        <v>0</v>
      </c>
      <c r="BF7" t="s">
        <v>614</v>
      </c>
      <c r="BG7" s="1">
        <v>46089.311388888891</v>
      </c>
      <c r="BH7" s="1">
        <v>46089.324733796297</v>
      </c>
      <c r="BI7" s="1">
        <v>46089.365358796298</v>
      </c>
      <c r="BJ7" s="1">
        <v>46089.419247685182</v>
      </c>
      <c r="BK7">
        <v>1.1000000000000001</v>
      </c>
      <c r="BM7">
        <v>4079</v>
      </c>
      <c r="BT7" s="1">
        <v>46089.326122685183</v>
      </c>
      <c r="BU7" s="1">
        <v>46089.376122685186</v>
      </c>
      <c r="BV7" t="b">
        <v>0</v>
      </c>
      <c r="BX7">
        <v>3</v>
      </c>
      <c r="BY7" t="b">
        <v>0</v>
      </c>
      <c r="CD7">
        <v>0.9</v>
      </c>
      <c r="CF7" s="1">
        <v>46089.146261574075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P7">
        <v>5</v>
      </c>
      <c r="CR7">
        <v>2</v>
      </c>
      <c r="CS7">
        <v>2799</v>
      </c>
      <c r="CT7">
        <v>2795</v>
      </c>
      <c r="CU7">
        <v>2810</v>
      </c>
      <c r="CZ7">
        <v>6.14</v>
      </c>
      <c r="DA7">
        <v>6.41</v>
      </c>
      <c r="DB7">
        <v>7.64</v>
      </c>
      <c r="DC7">
        <v>7.56</v>
      </c>
      <c r="DH7">
        <v>4450</v>
      </c>
      <c r="DI7">
        <v>4462</v>
      </c>
      <c r="DJ7">
        <v>418</v>
      </c>
      <c r="DK7">
        <v>416</v>
      </c>
      <c r="DP7">
        <v>4453</v>
      </c>
      <c r="DQ7">
        <v>4451</v>
      </c>
      <c r="DR7">
        <v>419</v>
      </c>
      <c r="DS7">
        <v>417</v>
      </c>
      <c r="DX7">
        <v>4442</v>
      </c>
      <c r="DY7">
        <v>4452</v>
      </c>
      <c r="DZ7">
        <v>415</v>
      </c>
      <c r="EA7">
        <v>416</v>
      </c>
      <c r="EB7" s="1">
        <v>46089.448969907404</v>
      </c>
      <c r="EG7" s="1">
        <v>46089.419247685182</v>
      </c>
      <c r="EJ7" s="1">
        <v>46089.809270833335</v>
      </c>
      <c r="EK7">
        <v>0.04</v>
      </c>
      <c r="EL7">
        <v>887</v>
      </c>
      <c r="EM7">
        <v>3093</v>
      </c>
      <c r="EQ7">
        <v>8.92</v>
      </c>
      <c r="ER7">
        <v>4</v>
      </c>
      <c r="ES7">
        <v>2971</v>
      </c>
      <c r="ET7">
        <v>0</v>
      </c>
      <c r="EU7">
        <v>0</v>
      </c>
      <c r="EV7">
        <v>2888</v>
      </c>
      <c r="EW7">
        <v>0</v>
      </c>
      <c r="EX7">
        <v>0</v>
      </c>
      <c r="EY7">
        <v>2883</v>
      </c>
      <c r="EZ7">
        <v>0</v>
      </c>
      <c r="FA7">
        <v>0</v>
      </c>
      <c r="FB7">
        <v>2915</v>
      </c>
      <c r="FC7">
        <v>8.1</v>
      </c>
      <c r="FJ7" t="s">
        <v>692</v>
      </c>
      <c r="FK7">
        <v>114</v>
      </c>
      <c r="FL7" s="1">
        <v>46089.638379629629</v>
      </c>
      <c r="FM7">
        <v>108</v>
      </c>
      <c r="FN7" t="s">
        <v>651</v>
      </c>
      <c r="FO7" t="s">
        <v>651</v>
      </c>
      <c r="FP7">
        <v>108</v>
      </c>
      <c r="FQ7" t="s">
        <v>651</v>
      </c>
      <c r="FR7" t="s">
        <v>651</v>
      </c>
      <c r="FS7" t="s">
        <v>652</v>
      </c>
      <c r="FT7" t="s">
        <v>612</v>
      </c>
      <c r="FV7" t="s">
        <v>572</v>
      </c>
      <c r="FW7" t="b">
        <v>0</v>
      </c>
      <c r="GA7" t="s">
        <v>693</v>
      </c>
      <c r="GB7">
        <v>18281</v>
      </c>
      <c r="GC7" s="1">
        <v>46089.326122685183</v>
      </c>
      <c r="GD7" t="s">
        <v>593</v>
      </c>
      <c r="GE7" t="s">
        <v>594</v>
      </c>
      <c r="GF7">
        <v>73</v>
      </c>
      <c r="GG7">
        <v>187</v>
      </c>
      <c r="GH7">
        <v>77</v>
      </c>
      <c r="GI7" t="s">
        <v>573</v>
      </c>
      <c r="GL7">
        <v>1887</v>
      </c>
      <c r="GN7" t="s">
        <v>653</v>
      </c>
      <c r="GP7">
        <v>1887</v>
      </c>
      <c r="GR7" t="s">
        <v>653</v>
      </c>
      <c r="HI7" s="2">
        <v>46089</v>
      </c>
      <c r="HJ7" t="s">
        <v>670</v>
      </c>
      <c r="HK7" t="s">
        <v>574</v>
      </c>
      <c r="HM7">
        <v>2</v>
      </c>
      <c r="HN7">
        <v>1</v>
      </c>
      <c r="HV7">
        <v>1</v>
      </c>
      <c r="HW7" t="b">
        <v>0</v>
      </c>
      <c r="IB7">
        <v>2855</v>
      </c>
      <c r="IJ7">
        <v>2753</v>
      </c>
      <c r="IK7">
        <v>46</v>
      </c>
      <c r="IL7">
        <v>42</v>
      </c>
      <c r="IM7">
        <v>57</v>
      </c>
      <c r="IN7" t="s">
        <v>597</v>
      </c>
      <c r="IO7" t="s">
        <v>613</v>
      </c>
      <c r="IP7" t="s">
        <v>613</v>
      </c>
      <c r="IR7">
        <v>4</v>
      </c>
      <c r="IV7">
        <v>26848</v>
      </c>
      <c r="IW7">
        <v>28229</v>
      </c>
      <c r="IX7">
        <v>28239</v>
      </c>
      <c r="IY7">
        <v>254.10311799999999</v>
      </c>
      <c r="IZ7">
        <v>0</v>
      </c>
      <c r="JA7">
        <v>1.1000000000000001</v>
      </c>
      <c r="JB7">
        <v>0</v>
      </c>
      <c r="JC7">
        <v>1.2705150000000001</v>
      </c>
      <c r="JD7">
        <v>255.37363300000001</v>
      </c>
      <c r="JE7">
        <v>256.47363300000001</v>
      </c>
      <c r="JF7">
        <v>99.075699999999998</v>
      </c>
      <c r="JG7">
        <v>0</v>
      </c>
      <c r="JH7">
        <v>0</v>
      </c>
      <c r="JI7">
        <v>0</v>
      </c>
      <c r="JJ7">
        <v>0</v>
      </c>
      <c r="JK7">
        <v>0</v>
      </c>
      <c r="JL7">
        <v>74.8</v>
      </c>
      <c r="JM7">
        <v>9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8</v>
      </c>
      <c r="JU7">
        <v>0</v>
      </c>
      <c r="JV7">
        <v>0</v>
      </c>
      <c r="JW7">
        <v>508206.23700000002</v>
      </c>
      <c r="JX7">
        <v>2640</v>
      </c>
      <c r="JY7">
        <v>74.900000000000006</v>
      </c>
      <c r="JZ7">
        <v>9.0625</v>
      </c>
      <c r="KA7">
        <v>0</v>
      </c>
      <c r="KB7">
        <v>254.10311799999999</v>
      </c>
      <c r="KC7">
        <v>1.2705150000000001</v>
      </c>
      <c r="KD7">
        <v>0</v>
      </c>
      <c r="KE7">
        <v>0</v>
      </c>
      <c r="KF7">
        <v>0</v>
      </c>
      <c r="KG7">
        <v>1.1000000000000001</v>
      </c>
      <c r="KH7">
        <v>0</v>
      </c>
      <c r="KI7">
        <v>0</v>
      </c>
      <c r="KJ7" t="s">
        <v>651</v>
      </c>
      <c r="KK7">
        <v>0.28360000000000002</v>
      </c>
      <c r="KL7">
        <v>26848</v>
      </c>
      <c r="KM7">
        <v>225038</v>
      </c>
      <c r="KN7">
        <v>47355</v>
      </c>
      <c r="KP7">
        <v>156238</v>
      </c>
      <c r="KX7">
        <v>31128</v>
      </c>
      <c r="LD7">
        <v>52153</v>
      </c>
      <c r="MD7">
        <v>52330</v>
      </c>
      <c r="MP7">
        <v>160275</v>
      </c>
      <c r="MQ7">
        <v>40799</v>
      </c>
      <c r="MS7">
        <v>158098</v>
      </c>
      <c r="NG7">
        <v>40799</v>
      </c>
      <c r="NP7">
        <v>25499</v>
      </c>
      <c r="OG7">
        <v>40799</v>
      </c>
      <c r="OT7">
        <v>4106</v>
      </c>
      <c r="PA7">
        <v>848</v>
      </c>
      <c r="PB7">
        <v>3975</v>
      </c>
      <c r="PC7">
        <v>355770</v>
      </c>
      <c r="PD7">
        <v>34868</v>
      </c>
      <c r="PE7">
        <v>8176</v>
      </c>
      <c r="PG7">
        <v>3</v>
      </c>
      <c r="PJ7">
        <v>16003</v>
      </c>
      <c r="PM7">
        <v>14664</v>
      </c>
      <c r="PN7">
        <v>2713</v>
      </c>
      <c r="PS7">
        <v>500</v>
      </c>
      <c r="PT7">
        <v>539</v>
      </c>
      <c r="PV7">
        <v>2916</v>
      </c>
      <c r="PW7">
        <v>5882</v>
      </c>
      <c r="PX7">
        <v>1759</v>
      </c>
      <c r="PY7">
        <v>6494</v>
      </c>
      <c r="QD7">
        <v>250</v>
      </c>
      <c r="QE7">
        <v>949</v>
      </c>
      <c r="QI7">
        <v>300</v>
      </c>
      <c r="QK7">
        <v>10</v>
      </c>
      <c r="QM7">
        <v>10</v>
      </c>
      <c r="QS7">
        <v>1003</v>
      </c>
      <c r="QT7">
        <v>300</v>
      </c>
      <c r="QV7">
        <v>75</v>
      </c>
      <c r="QX7">
        <v>350</v>
      </c>
      <c r="SE7" s="1">
        <v>46086.322222222225</v>
      </c>
      <c r="SF7">
        <v>26848</v>
      </c>
      <c r="SG7">
        <v>401935</v>
      </c>
      <c r="SH7">
        <v>20</v>
      </c>
      <c r="SI7" t="s">
        <v>567</v>
      </c>
      <c r="SJ7">
        <v>50</v>
      </c>
      <c r="SK7" s="1">
        <v>46089.362361111111</v>
      </c>
      <c r="SZ7">
        <v>0.20599999999999999</v>
      </c>
      <c r="TA7">
        <v>1.355</v>
      </c>
      <c r="TB7">
        <v>1.06E-2</v>
      </c>
      <c r="TC7">
        <v>1.5E-3</v>
      </c>
      <c r="TD7">
        <v>0.191</v>
      </c>
      <c r="TE7">
        <v>0.13700000000000001</v>
      </c>
      <c r="TF7">
        <v>0.16500000000000001</v>
      </c>
      <c r="TG7">
        <v>0.104</v>
      </c>
      <c r="TH7">
        <v>2.4E-2</v>
      </c>
      <c r="TI7">
        <v>3.3000000000000002E-2</v>
      </c>
      <c r="TJ7">
        <v>0.01</v>
      </c>
      <c r="TK7">
        <v>4.7714299999999996</v>
      </c>
      <c r="TL7">
        <v>6.7000000000000004E-2</v>
      </c>
      <c r="TM7">
        <v>1.6999999999999999E-3</v>
      </c>
      <c r="TN7">
        <v>1.8E-3</v>
      </c>
      <c r="TO7">
        <v>8.8000000000000005E-3</v>
      </c>
      <c r="TP7" t="s">
        <v>569</v>
      </c>
      <c r="TQ7">
        <v>7.0000000000000001E-3</v>
      </c>
      <c r="TR7">
        <v>2.0000000000000001E-4</v>
      </c>
      <c r="TS7" t="s">
        <v>576</v>
      </c>
      <c r="TU7">
        <v>0.30640000000000001</v>
      </c>
      <c r="TV7">
        <v>8.6E-3</v>
      </c>
      <c r="UD7">
        <v>0.5</v>
      </c>
      <c r="UE7">
        <v>0.53110000000000002</v>
      </c>
      <c r="UF7">
        <v>1.26</v>
      </c>
      <c r="UH7">
        <v>2.3000000000000001E-4</v>
      </c>
      <c r="UJ7">
        <v>0.45140000000000002</v>
      </c>
      <c r="UK7">
        <v>0.22</v>
      </c>
      <c r="UL7">
        <v>0.41</v>
      </c>
      <c r="UM7">
        <v>7.7499999999999999E-2</v>
      </c>
      <c r="UN7">
        <v>0.43</v>
      </c>
      <c r="UO7">
        <v>3.8923999999999999</v>
      </c>
      <c r="UP7">
        <v>1.32</v>
      </c>
      <c r="UQ7">
        <v>0.76</v>
      </c>
      <c r="UR7" s="1">
        <v>46086.322222222225</v>
      </c>
    </row>
    <row r="8" spans="1:564" x14ac:dyDescent="0.35">
      <c r="A8">
        <v>26849</v>
      </c>
      <c r="B8">
        <v>18338</v>
      </c>
      <c r="C8">
        <v>850</v>
      </c>
      <c r="D8">
        <v>26101</v>
      </c>
      <c r="G8" t="s">
        <v>616</v>
      </c>
      <c r="H8">
        <v>500000</v>
      </c>
      <c r="L8" t="s">
        <v>589</v>
      </c>
      <c r="M8">
        <v>74.8</v>
      </c>
      <c r="N8">
        <v>330</v>
      </c>
      <c r="O8" t="s">
        <v>599</v>
      </c>
      <c r="P8">
        <v>10</v>
      </c>
      <c r="S8" s="1">
        <v>46095.350578703707</v>
      </c>
      <c r="U8">
        <v>57</v>
      </c>
      <c r="W8">
        <v>18</v>
      </c>
      <c r="X8">
        <v>495910</v>
      </c>
      <c r="Y8" s="1">
        <v>46095.403344907405</v>
      </c>
      <c r="AB8">
        <v>69910</v>
      </c>
      <c r="AC8">
        <v>122</v>
      </c>
      <c r="AD8">
        <v>930</v>
      </c>
      <c r="AE8">
        <v>219159</v>
      </c>
      <c r="AF8">
        <v>0.06</v>
      </c>
      <c r="AG8">
        <v>656</v>
      </c>
      <c r="AH8">
        <v>3000</v>
      </c>
      <c r="AI8">
        <v>0.06</v>
      </c>
      <c r="AJ8">
        <v>621</v>
      </c>
      <c r="AK8">
        <v>2994</v>
      </c>
      <c r="AL8">
        <v>8</v>
      </c>
      <c r="AM8" t="s">
        <v>724</v>
      </c>
      <c r="AO8" s="1">
        <v>46095.40388888889</v>
      </c>
      <c r="AP8">
        <v>1</v>
      </c>
      <c r="AS8" s="1">
        <v>46095.406122685185</v>
      </c>
      <c r="AT8" s="1">
        <v>46095.606516203705</v>
      </c>
      <c r="AU8">
        <v>51</v>
      </c>
      <c r="AV8">
        <v>273</v>
      </c>
      <c r="AY8">
        <v>508020</v>
      </c>
      <c r="AZ8">
        <v>540000</v>
      </c>
      <c r="BA8">
        <v>5140</v>
      </c>
      <c r="BB8">
        <v>2915</v>
      </c>
      <c r="BC8">
        <v>2875</v>
      </c>
      <c r="BD8">
        <v>3658</v>
      </c>
      <c r="BG8" s="1">
        <v>46095.615613425929</v>
      </c>
      <c r="BH8" s="1">
        <v>46095.615902777776</v>
      </c>
      <c r="BI8" s="1">
        <v>46095.62</v>
      </c>
      <c r="BJ8" s="1">
        <v>46095.701099537036</v>
      </c>
      <c r="BK8">
        <v>1.1000000000000001</v>
      </c>
      <c r="BM8">
        <v>4090</v>
      </c>
      <c r="BQ8">
        <v>221</v>
      </c>
      <c r="BR8" t="s">
        <v>725</v>
      </c>
      <c r="BT8" s="1">
        <v>46095.618680555555</v>
      </c>
      <c r="BU8" s="1">
        <v>46095.665902777779</v>
      </c>
      <c r="BV8" t="b">
        <v>0</v>
      </c>
      <c r="BX8">
        <v>9</v>
      </c>
      <c r="BY8" t="b">
        <v>0</v>
      </c>
      <c r="CD8">
        <v>0.9</v>
      </c>
      <c r="CF8" s="1">
        <v>46095.432002314818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P8">
        <v>3</v>
      </c>
      <c r="CR8">
        <v>4</v>
      </c>
      <c r="CS8">
        <v>2829</v>
      </c>
      <c r="CT8">
        <v>2829</v>
      </c>
      <c r="CU8">
        <v>2829</v>
      </c>
      <c r="CZ8">
        <v>6.87</v>
      </c>
      <c r="DA8">
        <v>6.65</v>
      </c>
      <c r="DB8">
        <v>7.81</v>
      </c>
      <c r="DC8">
        <v>6.95</v>
      </c>
      <c r="DH8">
        <v>4458</v>
      </c>
      <c r="DI8">
        <v>4442</v>
      </c>
      <c r="DJ8">
        <v>415</v>
      </c>
      <c r="DK8">
        <v>415</v>
      </c>
      <c r="DP8">
        <v>4460</v>
      </c>
      <c r="DQ8">
        <v>4438</v>
      </c>
      <c r="DR8">
        <v>415</v>
      </c>
      <c r="DS8">
        <v>416</v>
      </c>
      <c r="DX8">
        <v>4472</v>
      </c>
      <c r="DY8">
        <v>4439</v>
      </c>
      <c r="DZ8">
        <v>417</v>
      </c>
      <c r="EA8">
        <v>417</v>
      </c>
      <c r="EB8" s="1">
        <v>46095.666516203702</v>
      </c>
      <c r="ED8">
        <v>30</v>
      </c>
      <c r="EG8" s="1">
        <v>46095.701099537036</v>
      </c>
      <c r="EJ8" s="1">
        <v>46096.852581018517</v>
      </c>
      <c r="EK8">
        <v>0.05</v>
      </c>
      <c r="EL8">
        <v>709</v>
      </c>
      <c r="EM8">
        <v>2987</v>
      </c>
      <c r="EN8">
        <v>0.04</v>
      </c>
      <c r="EO8">
        <v>920</v>
      </c>
      <c r="EP8">
        <v>3013</v>
      </c>
      <c r="EQ8">
        <v>11.59</v>
      </c>
      <c r="ER8">
        <v>3</v>
      </c>
      <c r="ES8">
        <v>2915</v>
      </c>
      <c r="ET8">
        <v>0</v>
      </c>
      <c r="EU8">
        <v>0</v>
      </c>
      <c r="EV8">
        <v>2900</v>
      </c>
      <c r="EW8">
        <v>0</v>
      </c>
      <c r="EX8">
        <v>0</v>
      </c>
      <c r="EY8">
        <v>2860</v>
      </c>
      <c r="EZ8">
        <v>0</v>
      </c>
      <c r="FA8">
        <v>0</v>
      </c>
      <c r="FB8">
        <v>3005</v>
      </c>
      <c r="FC8">
        <v>7.1</v>
      </c>
      <c r="FG8" t="b">
        <v>1</v>
      </c>
      <c r="FI8" t="s">
        <v>571</v>
      </c>
      <c r="FJ8" t="s">
        <v>726</v>
      </c>
      <c r="FK8">
        <v>114</v>
      </c>
      <c r="FL8" s="1">
        <v>46095.932581018518</v>
      </c>
      <c r="FM8">
        <v>134</v>
      </c>
      <c r="FN8" t="s">
        <v>617</v>
      </c>
      <c r="FO8" t="s">
        <v>617</v>
      </c>
      <c r="FP8">
        <v>134</v>
      </c>
      <c r="FQ8" t="s">
        <v>617</v>
      </c>
      <c r="FR8" t="s">
        <v>618</v>
      </c>
      <c r="FS8" t="s">
        <v>619</v>
      </c>
      <c r="FT8" t="s">
        <v>564</v>
      </c>
      <c r="FV8" t="s">
        <v>572</v>
      </c>
      <c r="FW8" t="b">
        <v>0</v>
      </c>
      <c r="GA8" t="s">
        <v>727</v>
      </c>
      <c r="GB8">
        <v>18338</v>
      </c>
      <c r="GC8" s="1">
        <v>46095.618680555555</v>
      </c>
      <c r="GD8" t="s">
        <v>593</v>
      </c>
      <c r="GE8" t="s">
        <v>594</v>
      </c>
      <c r="GF8">
        <v>76</v>
      </c>
      <c r="GG8">
        <v>289</v>
      </c>
      <c r="GH8">
        <v>117</v>
      </c>
      <c r="GI8" t="s">
        <v>573</v>
      </c>
      <c r="GJ8">
        <v>247.96</v>
      </c>
      <c r="GL8">
        <v>61</v>
      </c>
      <c r="GN8" t="s">
        <v>620</v>
      </c>
      <c r="GP8">
        <v>61</v>
      </c>
      <c r="GR8" t="s">
        <v>620</v>
      </c>
      <c r="GT8">
        <v>1940</v>
      </c>
      <c r="GV8">
        <v>10</v>
      </c>
      <c r="GX8">
        <v>9.6</v>
      </c>
      <c r="HD8">
        <v>74.81</v>
      </c>
      <c r="HF8">
        <v>75</v>
      </c>
      <c r="HI8" s="2">
        <v>46095</v>
      </c>
      <c r="HJ8" t="s">
        <v>596</v>
      </c>
      <c r="HK8" t="s">
        <v>537</v>
      </c>
      <c r="HM8">
        <v>1</v>
      </c>
      <c r="HN8">
        <v>1</v>
      </c>
      <c r="HV8">
        <v>1</v>
      </c>
      <c r="HW8" t="b">
        <v>0</v>
      </c>
      <c r="IB8">
        <v>2870</v>
      </c>
      <c r="IJ8">
        <v>2757</v>
      </c>
      <c r="IK8">
        <v>72</v>
      </c>
      <c r="IL8">
        <v>72</v>
      </c>
      <c r="IM8">
        <v>72</v>
      </c>
      <c r="IO8" t="s">
        <v>604</v>
      </c>
      <c r="IP8" t="s">
        <v>604</v>
      </c>
      <c r="IQ8" t="s">
        <v>566</v>
      </c>
      <c r="IR8">
        <v>7</v>
      </c>
      <c r="IU8" s="1">
        <v>46095.620115740741</v>
      </c>
      <c r="IV8">
        <v>26849</v>
      </c>
      <c r="IW8">
        <v>26849</v>
      </c>
      <c r="IX8">
        <v>28310</v>
      </c>
      <c r="IY8">
        <v>254.39187200000001</v>
      </c>
      <c r="IZ8">
        <v>2.8875350000000002</v>
      </c>
      <c r="JA8">
        <v>1.1000000000000001</v>
      </c>
      <c r="JB8">
        <v>0</v>
      </c>
      <c r="JC8">
        <v>1.286397</v>
      </c>
      <c r="JD8">
        <v>258.56580400000001</v>
      </c>
      <c r="JE8">
        <v>259.66580399999998</v>
      </c>
      <c r="JF8">
        <v>97.968900000000005</v>
      </c>
      <c r="JG8">
        <v>0</v>
      </c>
      <c r="JH8">
        <v>0</v>
      </c>
      <c r="JI8">
        <v>0</v>
      </c>
      <c r="JJ8">
        <v>0</v>
      </c>
      <c r="JK8">
        <v>0</v>
      </c>
      <c r="JL8">
        <v>74.8</v>
      </c>
      <c r="JM8">
        <v>9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8</v>
      </c>
      <c r="JU8">
        <v>30</v>
      </c>
      <c r="JV8">
        <v>0</v>
      </c>
      <c r="JW8">
        <v>508783.74408799998</v>
      </c>
      <c r="JX8">
        <v>2643</v>
      </c>
      <c r="JY8">
        <v>74.900000000000006</v>
      </c>
      <c r="JZ8">
        <v>9.0625</v>
      </c>
      <c r="KA8">
        <v>30</v>
      </c>
      <c r="KB8">
        <v>254.39187200000001</v>
      </c>
      <c r="KC8">
        <v>1.286397</v>
      </c>
      <c r="KD8">
        <v>2.8875350000000002</v>
      </c>
      <c r="KE8">
        <v>5775.0708750000003</v>
      </c>
      <c r="KF8">
        <v>0</v>
      </c>
      <c r="KG8">
        <v>1.1000000000000001</v>
      </c>
      <c r="KH8">
        <v>0</v>
      </c>
      <c r="KI8">
        <v>0</v>
      </c>
      <c r="KJ8" t="s">
        <v>617</v>
      </c>
      <c r="KK8">
        <v>0.28360000000000002</v>
      </c>
      <c r="KL8">
        <v>26849</v>
      </c>
      <c r="KN8">
        <v>33460</v>
      </c>
      <c r="KP8">
        <v>227013</v>
      </c>
      <c r="KT8">
        <v>86219</v>
      </c>
      <c r="KW8">
        <v>43876</v>
      </c>
      <c r="LL8">
        <v>34056</v>
      </c>
      <c r="LV8">
        <v>97997</v>
      </c>
      <c r="MD8">
        <v>48644</v>
      </c>
      <c r="MQ8">
        <v>23999</v>
      </c>
      <c r="MS8">
        <v>155728</v>
      </c>
      <c r="MW8">
        <v>63999</v>
      </c>
      <c r="MZ8">
        <v>31999</v>
      </c>
      <c r="NO8">
        <v>19999</v>
      </c>
      <c r="NY8">
        <v>67999</v>
      </c>
      <c r="OG8">
        <v>31999</v>
      </c>
      <c r="OT8">
        <v>4204</v>
      </c>
      <c r="PA8">
        <v>559</v>
      </c>
      <c r="PB8">
        <v>4045</v>
      </c>
      <c r="PC8">
        <v>306188</v>
      </c>
      <c r="PD8">
        <v>31697</v>
      </c>
      <c r="PE8">
        <v>6436</v>
      </c>
      <c r="PG8">
        <v>4</v>
      </c>
      <c r="PJ8">
        <v>9144</v>
      </c>
      <c r="PM8">
        <v>12423</v>
      </c>
      <c r="PN8">
        <v>945</v>
      </c>
      <c r="PV8">
        <v>3732</v>
      </c>
      <c r="PW8">
        <v>3488</v>
      </c>
      <c r="PX8">
        <v>699</v>
      </c>
      <c r="PY8">
        <v>3199</v>
      </c>
      <c r="QD8">
        <v>599</v>
      </c>
      <c r="QE8">
        <v>949</v>
      </c>
      <c r="QI8">
        <v>400</v>
      </c>
      <c r="QK8">
        <v>9</v>
      </c>
      <c r="QM8">
        <v>11</v>
      </c>
      <c r="QS8">
        <v>699</v>
      </c>
      <c r="QW8">
        <v>75</v>
      </c>
      <c r="QY8">
        <v>350</v>
      </c>
      <c r="SE8" s="1">
        <v>46086.322222222225</v>
      </c>
      <c r="SF8">
        <v>26849</v>
      </c>
      <c r="SG8">
        <v>403556</v>
      </c>
      <c r="SH8">
        <v>20</v>
      </c>
      <c r="SI8" t="s">
        <v>567</v>
      </c>
      <c r="SJ8">
        <v>50</v>
      </c>
      <c r="SK8" s="1">
        <v>46095.662268518521</v>
      </c>
      <c r="SZ8">
        <v>0.184</v>
      </c>
      <c r="TA8">
        <v>1.173</v>
      </c>
      <c r="TB8">
        <v>1.15E-2</v>
      </c>
      <c r="TC8">
        <v>2.8999999999999998E-3</v>
      </c>
      <c r="TD8">
        <v>0.20399999999999999</v>
      </c>
      <c r="TE8">
        <v>0.126</v>
      </c>
      <c r="TF8">
        <v>5.8999999999999997E-2</v>
      </c>
      <c r="TG8">
        <v>0.105</v>
      </c>
      <c r="TH8">
        <v>1.9E-2</v>
      </c>
      <c r="TI8">
        <v>3.1E-2</v>
      </c>
      <c r="TJ8">
        <v>8.0000000000000002E-3</v>
      </c>
      <c r="TK8">
        <v>3.9746800000000002</v>
      </c>
      <c r="TL8">
        <v>4.0000000000000001E-3</v>
      </c>
      <c r="TM8">
        <v>1.5E-3</v>
      </c>
      <c r="TN8">
        <v>2.2000000000000001E-3</v>
      </c>
      <c r="TO8">
        <v>1.9E-3</v>
      </c>
      <c r="TP8" t="s">
        <v>569</v>
      </c>
      <c r="TQ8">
        <v>7.9000000000000008E-3</v>
      </c>
      <c r="TR8">
        <v>2.0000000000000001E-4</v>
      </c>
      <c r="TS8" t="s">
        <v>576</v>
      </c>
      <c r="TU8">
        <v>0.26300000000000001</v>
      </c>
      <c r="TV8">
        <v>8.0000000000000002E-3</v>
      </c>
      <c r="UD8">
        <v>0.41</v>
      </c>
      <c r="UE8">
        <v>0.44519999999999998</v>
      </c>
      <c r="UF8">
        <v>0.24</v>
      </c>
      <c r="UH8">
        <v>2.5000000000000001E-4</v>
      </c>
      <c r="UJ8">
        <v>0.3216</v>
      </c>
      <c r="UK8">
        <v>0.19</v>
      </c>
      <c r="UL8">
        <v>0.28999999999999998</v>
      </c>
      <c r="UM8">
        <v>7.4000000000000003E-3</v>
      </c>
      <c r="UN8">
        <v>0.309</v>
      </c>
      <c r="UO8">
        <v>3.6208</v>
      </c>
      <c r="UP8">
        <v>1.2</v>
      </c>
      <c r="UQ8">
        <v>0.83</v>
      </c>
      <c r="UR8" s="1">
        <v>46086.322222222225</v>
      </c>
    </row>
    <row r="9" spans="1:564" x14ac:dyDescent="0.35">
      <c r="A9">
        <v>26850</v>
      </c>
      <c r="B9">
        <v>18329</v>
      </c>
      <c r="C9">
        <v>850</v>
      </c>
      <c r="D9">
        <v>26100</v>
      </c>
      <c r="G9" t="s">
        <v>579</v>
      </c>
      <c r="H9">
        <v>500000</v>
      </c>
      <c r="I9" s="1">
        <v>46095.367951388886</v>
      </c>
      <c r="J9">
        <v>61</v>
      </c>
      <c r="K9">
        <v>300</v>
      </c>
      <c r="L9" t="s">
        <v>623</v>
      </c>
      <c r="M9">
        <v>70</v>
      </c>
      <c r="N9">
        <v>257</v>
      </c>
      <c r="O9" t="s">
        <v>624</v>
      </c>
      <c r="P9">
        <v>1</v>
      </c>
      <c r="S9" s="1">
        <v>46094.446736111109</v>
      </c>
      <c r="U9">
        <v>81</v>
      </c>
      <c r="W9">
        <v>80</v>
      </c>
      <c r="X9">
        <v>495910</v>
      </c>
      <c r="Y9" s="1">
        <v>46094.559016203704</v>
      </c>
      <c r="AB9">
        <v>100000</v>
      </c>
      <c r="AC9">
        <v>113</v>
      </c>
      <c r="AD9">
        <v>921</v>
      </c>
      <c r="AE9">
        <v>55800</v>
      </c>
      <c r="AF9">
        <v>0.5</v>
      </c>
      <c r="AG9">
        <v>66</v>
      </c>
      <c r="AH9">
        <v>2796</v>
      </c>
      <c r="AI9">
        <v>0.33</v>
      </c>
      <c r="AJ9">
        <v>102</v>
      </c>
      <c r="AK9">
        <v>2871</v>
      </c>
      <c r="AL9">
        <v>69</v>
      </c>
      <c r="AM9" t="s">
        <v>625</v>
      </c>
      <c r="AO9" s="1">
        <v>46095.031041666669</v>
      </c>
      <c r="AP9">
        <v>1</v>
      </c>
      <c r="AS9" s="1">
        <v>46094.56521990741</v>
      </c>
      <c r="AT9" s="1">
        <v>46095.030590277776</v>
      </c>
      <c r="AU9">
        <v>84</v>
      </c>
      <c r="AV9">
        <v>360</v>
      </c>
      <c r="AY9">
        <v>500652</v>
      </c>
      <c r="AZ9">
        <v>490292</v>
      </c>
      <c r="BA9">
        <v>38000</v>
      </c>
      <c r="BB9">
        <v>32</v>
      </c>
      <c r="BC9">
        <v>2874</v>
      </c>
      <c r="BD9">
        <v>0</v>
      </c>
      <c r="BF9" t="s">
        <v>614</v>
      </c>
      <c r="BG9" s="1">
        <v>46095.031180555554</v>
      </c>
      <c r="BH9" s="1">
        <v>46095.04011574074</v>
      </c>
      <c r="BI9" s="1">
        <v>46095.081562500003</v>
      </c>
      <c r="BJ9" s="1">
        <v>46095.111979166664</v>
      </c>
      <c r="BK9">
        <v>1.1000000000000001</v>
      </c>
      <c r="BM9">
        <v>4088</v>
      </c>
      <c r="BT9" s="1">
        <v>46095.045671296299</v>
      </c>
      <c r="BU9" s="1">
        <v>46095.074837962966</v>
      </c>
      <c r="BV9" t="b">
        <v>0</v>
      </c>
      <c r="BW9">
        <v>7</v>
      </c>
      <c r="BX9">
        <v>7</v>
      </c>
      <c r="BY9" t="b">
        <v>0</v>
      </c>
      <c r="CC9">
        <v>0.9</v>
      </c>
      <c r="CD9">
        <v>0.9</v>
      </c>
      <c r="CE9" s="1">
        <v>46094.861643518518</v>
      </c>
      <c r="CF9" s="1">
        <v>46094.861643518518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>
        <v>2</v>
      </c>
      <c r="CP9">
        <v>3</v>
      </c>
      <c r="CQ9">
        <v>1</v>
      </c>
      <c r="CR9">
        <v>4</v>
      </c>
      <c r="CS9">
        <v>2848</v>
      </c>
      <c r="CT9">
        <v>2840</v>
      </c>
      <c r="CU9">
        <v>2841</v>
      </c>
      <c r="CV9">
        <v>5.39</v>
      </c>
      <c r="CW9">
        <v>4.46</v>
      </c>
      <c r="CX9">
        <v>7.96</v>
      </c>
      <c r="CY9">
        <v>7.69</v>
      </c>
      <c r="CZ9">
        <v>5.59</v>
      </c>
      <c r="DA9">
        <v>5.39</v>
      </c>
      <c r="DB9">
        <v>7.56</v>
      </c>
      <c r="DC9">
        <v>7.06</v>
      </c>
      <c r="DD9">
        <v>4455</v>
      </c>
      <c r="DE9">
        <v>4446</v>
      </c>
      <c r="DF9">
        <v>417</v>
      </c>
      <c r="DG9">
        <v>417</v>
      </c>
      <c r="DH9">
        <v>4440</v>
      </c>
      <c r="DI9">
        <v>4442</v>
      </c>
      <c r="DJ9">
        <v>416</v>
      </c>
      <c r="DK9">
        <v>416</v>
      </c>
      <c r="DL9">
        <v>4446</v>
      </c>
      <c r="DM9">
        <v>4444</v>
      </c>
      <c r="DN9">
        <v>417</v>
      </c>
      <c r="DO9">
        <v>416</v>
      </c>
      <c r="DP9">
        <v>4439</v>
      </c>
      <c r="DQ9">
        <v>4441</v>
      </c>
      <c r="DR9">
        <v>415</v>
      </c>
      <c r="DS9">
        <v>414</v>
      </c>
      <c r="DT9">
        <v>4410</v>
      </c>
      <c r="DU9">
        <v>4447</v>
      </c>
      <c r="DV9">
        <v>416</v>
      </c>
      <c r="DW9">
        <v>415</v>
      </c>
      <c r="DX9">
        <v>4393</v>
      </c>
      <c r="DY9">
        <v>4444</v>
      </c>
      <c r="DZ9">
        <v>416</v>
      </c>
      <c r="EA9">
        <v>417</v>
      </c>
      <c r="EB9" s="1">
        <v>46095.085162037038</v>
      </c>
      <c r="EG9" s="1">
        <v>46095.111979166664</v>
      </c>
      <c r="EJ9" s="1">
        <v>46095.372025462966</v>
      </c>
      <c r="EK9">
        <v>0.23</v>
      </c>
      <c r="EL9">
        <v>147</v>
      </c>
      <c r="EM9">
        <v>2892</v>
      </c>
      <c r="EN9">
        <v>0.12</v>
      </c>
      <c r="EO9">
        <v>296</v>
      </c>
      <c r="EP9">
        <v>2950</v>
      </c>
      <c r="EQ9">
        <v>0</v>
      </c>
      <c r="ER9">
        <v>0</v>
      </c>
      <c r="ES9">
        <v>32</v>
      </c>
      <c r="ET9">
        <v>0.21</v>
      </c>
      <c r="EU9">
        <v>176</v>
      </c>
      <c r="EV9">
        <v>2993</v>
      </c>
      <c r="EW9">
        <v>0</v>
      </c>
      <c r="EX9">
        <v>0</v>
      </c>
      <c r="EY9">
        <v>2967</v>
      </c>
      <c r="EZ9">
        <v>0</v>
      </c>
      <c r="FA9">
        <v>0</v>
      </c>
      <c r="FB9">
        <v>2919</v>
      </c>
      <c r="FC9">
        <v>6.8</v>
      </c>
      <c r="FJ9" t="s">
        <v>626</v>
      </c>
      <c r="FK9">
        <v>267</v>
      </c>
      <c r="FL9" s="1">
        <v>46095.371805555558</v>
      </c>
      <c r="FM9">
        <v>20</v>
      </c>
      <c r="FN9">
        <v>7100</v>
      </c>
      <c r="FO9">
        <v>7100</v>
      </c>
      <c r="FP9">
        <v>20</v>
      </c>
      <c r="FQ9">
        <v>7100</v>
      </c>
      <c r="FR9">
        <v>7100</v>
      </c>
      <c r="FS9" t="s">
        <v>580</v>
      </c>
      <c r="FT9" t="s">
        <v>612</v>
      </c>
      <c r="FV9" t="s">
        <v>572</v>
      </c>
      <c r="FW9" t="b">
        <v>0</v>
      </c>
      <c r="GA9" t="s">
        <v>627</v>
      </c>
      <c r="GB9">
        <v>18329</v>
      </c>
      <c r="GC9" s="1">
        <v>46095.045671296299</v>
      </c>
      <c r="GD9" t="s">
        <v>584</v>
      </c>
      <c r="GE9" t="s">
        <v>628</v>
      </c>
      <c r="GF9">
        <v>161</v>
      </c>
      <c r="GG9">
        <v>671</v>
      </c>
      <c r="GH9">
        <v>44</v>
      </c>
      <c r="GI9" t="s">
        <v>573</v>
      </c>
      <c r="GJ9">
        <v>247.96</v>
      </c>
      <c r="GK9">
        <v>2382</v>
      </c>
      <c r="GL9">
        <v>2354</v>
      </c>
      <c r="GM9" t="s">
        <v>586</v>
      </c>
      <c r="GN9" t="s">
        <v>587</v>
      </c>
      <c r="GO9">
        <v>2382</v>
      </c>
      <c r="GP9">
        <v>2352</v>
      </c>
      <c r="GQ9" t="s">
        <v>586</v>
      </c>
      <c r="GR9" t="s">
        <v>629</v>
      </c>
      <c r="HI9" s="2">
        <v>46095</v>
      </c>
      <c r="HJ9" t="s">
        <v>581</v>
      </c>
      <c r="HK9" t="s">
        <v>574</v>
      </c>
      <c r="HM9">
        <v>2</v>
      </c>
      <c r="HN9">
        <v>1</v>
      </c>
      <c r="HV9">
        <v>1</v>
      </c>
      <c r="HW9" t="b">
        <v>0</v>
      </c>
      <c r="IB9">
        <v>2865</v>
      </c>
      <c r="IJ9">
        <v>2777</v>
      </c>
      <c r="IK9">
        <v>71</v>
      </c>
      <c r="IL9">
        <v>63</v>
      </c>
      <c r="IM9">
        <v>64</v>
      </c>
      <c r="IO9" t="s">
        <v>630</v>
      </c>
      <c r="IP9" t="s">
        <v>630</v>
      </c>
      <c r="IQ9" t="s">
        <v>582</v>
      </c>
      <c r="IR9">
        <v>4</v>
      </c>
      <c r="IV9">
        <v>26850</v>
      </c>
      <c r="IW9">
        <v>26853</v>
      </c>
      <c r="IX9">
        <v>26855</v>
      </c>
      <c r="IY9">
        <v>257.90047700000002</v>
      </c>
      <c r="IZ9">
        <v>0</v>
      </c>
      <c r="JA9">
        <v>1.1000000000000001</v>
      </c>
      <c r="JB9">
        <v>0</v>
      </c>
      <c r="JC9">
        <v>1.2895019999999999</v>
      </c>
      <c r="JD9">
        <v>259.18997899999999</v>
      </c>
      <c r="JE9">
        <v>260.28997900000002</v>
      </c>
      <c r="JF9">
        <v>99.081900000000005</v>
      </c>
      <c r="JG9">
        <v>5</v>
      </c>
      <c r="JH9">
        <v>0</v>
      </c>
      <c r="JI9">
        <v>0</v>
      </c>
      <c r="JJ9">
        <v>236400.0975</v>
      </c>
      <c r="JK9">
        <v>1500</v>
      </c>
      <c r="JL9">
        <v>60.9</v>
      </c>
      <c r="JM9">
        <v>9.125</v>
      </c>
      <c r="JN9">
        <v>0</v>
      </c>
      <c r="JO9">
        <v>118.200048</v>
      </c>
      <c r="JP9">
        <v>0.59099999999999997</v>
      </c>
      <c r="JQ9">
        <v>0</v>
      </c>
      <c r="JR9">
        <v>0</v>
      </c>
      <c r="JS9">
        <v>0</v>
      </c>
      <c r="JT9">
        <v>6</v>
      </c>
      <c r="JU9">
        <v>0</v>
      </c>
      <c r="JV9">
        <v>0</v>
      </c>
      <c r="JW9">
        <v>279400.85887499998</v>
      </c>
      <c r="JX9">
        <v>1542</v>
      </c>
      <c r="JY9">
        <v>70.5</v>
      </c>
      <c r="JZ9">
        <v>9.0625</v>
      </c>
      <c r="KA9">
        <v>0</v>
      </c>
      <c r="KB9">
        <v>139.70042900000001</v>
      </c>
      <c r="KC9">
        <v>0.69850199999999996</v>
      </c>
      <c r="KD9">
        <v>0</v>
      </c>
      <c r="KE9">
        <v>0</v>
      </c>
      <c r="KF9">
        <v>0</v>
      </c>
      <c r="KG9">
        <v>1.1000000000000001</v>
      </c>
      <c r="KH9">
        <v>0</v>
      </c>
      <c r="KI9">
        <v>0</v>
      </c>
      <c r="KJ9">
        <v>7100</v>
      </c>
      <c r="KK9">
        <v>0.28360000000000002</v>
      </c>
      <c r="KL9">
        <v>26850</v>
      </c>
      <c r="KM9">
        <v>63740</v>
      </c>
      <c r="KN9">
        <v>52420</v>
      </c>
      <c r="KP9">
        <v>263660</v>
      </c>
      <c r="KT9">
        <v>85960</v>
      </c>
      <c r="KW9">
        <v>51640</v>
      </c>
      <c r="KX9">
        <v>34420</v>
      </c>
      <c r="LV9">
        <v>33880</v>
      </c>
      <c r="MD9">
        <v>53260</v>
      </c>
      <c r="MQ9">
        <v>52790</v>
      </c>
      <c r="MS9">
        <v>204758</v>
      </c>
      <c r="MW9">
        <v>105580</v>
      </c>
      <c r="MZ9">
        <v>52790</v>
      </c>
      <c r="NO9">
        <v>32994</v>
      </c>
      <c r="NY9">
        <v>98982</v>
      </c>
      <c r="OG9">
        <v>52790</v>
      </c>
      <c r="PA9">
        <v>801</v>
      </c>
      <c r="PB9">
        <v>4016</v>
      </c>
      <c r="PC9">
        <v>496216</v>
      </c>
      <c r="PD9">
        <v>46810</v>
      </c>
      <c r="PE9">
        <v>10281</v>
      </c>
      <c r="PG9">
        <v>8</v>
      </c>
      <c r="PJ9">
        <v>19565</v>
      </c>
      <c r="PM9">
        <v>15715</v>
      </c>
      <c r="PR9">
        <v>100</v>
      </c>
      <c r="PV9">
        <v>3441</v>
      </c>
      <c r="PW9">
        <v>6976</v>
      </c>
      <c r="PX9">
        <v>1000</v>
      </c>
      <c r="PY9">
        <v>2077</v>
      </c>
      <c r="QD9">
        <v>999</v>
      </c>
      <c r="QE9">
        <v>949</v>
      </c>
      <c r="QK9">
        <v>13</v>
      </c>
      <c r="QM9">
        <v>21</v>
      </c>
      <c r="RL9">
        <v>5</v>
      </c>
      <c r="RN9">
        <v>3</v>
      </c>
      <c r="RO9">
        <v>1</v>
      </c>
      <c r="RP9">
        <v>1</v>
      </c>
      <c r="SD9">
        <v>4</v>
      </c>
      <c r="SE9" s="1">
        <v>46086.322222222225</v>
      </c>
      <c r="SF9">
        <v>26850</v>
      </c>
      <c r="SG9">
        <v>403401</v>
      </c>
      <c r="SH9">
        <v>20</v>
      </c>
      <c r="SI9" t="s">
        <v>567</v>
      </c>
      <c r="SJ9">
        <v>50</v>
      </c>
      <c r="SK9" s="1">
        <v>46095.128877314812</v>
      </c>
      <c r="SZ9">
        <v>8.8999999999999996E-2</v>
      </c>
      <c r="TA9">
        <v>0.35699999999999998</v>
      </c>
      <c r="TB9">
        <v>1.37E-2</v>
      </c>
      <c r="TC9">
        <v>2.5999999999999999E-3</v>
      </c>
      <c r="TD9">
        <v>2.5999999999999999E-2</v>
      </c>
      <c r="TE9">
        <v>9.6000000000000002E-2</v>
      </c>
      <c r="TF9">
        <v>5.0999999999999997E-2</v>
      </c>
      <c r="TG9">
        <v>0.06</v>
      </c>
      <c r="TH9">
        <v>2.4E-2</v>
      </c>
      <c r="TI9">
        <v>3.1E-2</v>
      </c>
      <c r="TJ9">
        <v>7.0000000000000001E-3</v>
      </c>
      <c r="TK9">
        <v>3.9871799999999999</v>
      </c>
      <c r="TL9" t="s">
        <v>583</v>
      </c>
      <c r="TM9" t="s">
        <v>568</v>
      </c>
      <c r="TN9">
        <v>1.8E-3</v>
      </c>
      <c r="TO9" t="s">
        <v>568</v>
      </c>
      <c r="TP9" t="s">
        <v>569</v>
      </c>
      <c r="TQ9">
        <v>7.7999999999999996E-3</v>
      </c>
      <c r="TR9">
        <v>2.9999999999999997E-4</v>
      </c>
      <c r="TS9" t="s">
        <v>576</v>
      </c>
      <c r="TU9">
        <v>0.1191</v>
      </c>
      <c r="TV9">
        <v>4.1000000000000003E-3</v>
      </c>
      <c r="UD9">
        <v>0.17</v>
      </c>
      <c r="UE9">
        <v>0.17810000000000001</v>
      </c>
      <c r="UF9">
        <v>0.12</v>
      </c>
      <c r="UH9">
        <v>2.4000000000000001E-4</v>
      </c>
      <c r="UJ9">
        <v>0.24110000000000001</v>
      </c>
      <c r="UK9">
        <v>0.15</v>
      </c>
      <c r="UL9">
        <v>0.21</v>
      </c>
      <c r="UM9">
        <v>8.9999999999999998E-4</v>
      </c>
      <c r="UN9">
        <v>0.23100000000000001</v>
      </c>
      <c r="UO9">
        <v>2.7086999999999999</v>
      </c>
      <c r="UP9">
        <v>1.6</v>
      </c>
      <c r="UQ9">
        <v>0.63</v>
      </c>
      <c r="UR9" s="1">
        <v>46086.322222222225</v>
      </c>
    </row>
    <row r="10" spans="1:564" x14ac:dyDescent="0.35">
      <c r="A10">
        <v>26851</v>
      </c>
      <c r="B10">
        <v>18330</v>
      </c>
      <c r="C10">
        <v>850</v>
      </c>
      <c r="D10">
        <v>26100</v>
      </c>
      <c r="G10" t="s">
        <v>579</v>
      </c>
      <c r="H10">
        <v>500000</v>
      </c>
      <c r="J10">
        <v>61</v>
      </c>
      <c r="K10">
        <v>300</v>
      </c>
      <c r="L10" t="s">
        <v>623</v>
      </c>
      <c r="M10">
        <v>73</v>
      </c>
      <c r="N10">
        <v>250</v>
      </c>
      <c r="O10" t="s">
        <v>694</v>
      </c>
      <c r="P10">
        <v>2</v>
      </c>
      <c r="S10" s="1">
        <v>46094.559016203704</v>
      </c>
      <c r="U10">
        <v>70</v>
      </c>
      <c r="W10">
        <v>7</v>
      </c>
      <c r="X10">
        <v>482131</v>
      </c>
      <c r="Y10" s="1">
        <v>46094.613553240742</v>
      </c>
      <c r="AB10">
        <v>93766</v>
      </c>
      <c r="AC10">
        <v>114</v>
      </c>
      <c r="AD10">
        <v>922</v>
      </c>
      <c r="AE10">
        <v>146363</v>
      </c>
      <c r="AF10">
        <v>0.09</v>
      </c>
      <c r="AG10">
        <v>384</v>
      </c>
      <c r="AH10">
        <v>2870</v>
      </c>
      <c r="AI10">
        <v>0.05</v>
      </c>
      <c r="AJ10">
        <v>657</v>
      </c>
      <c r="AK10">
        <v>2943</v>
      </c>
      <c r="AO10" s="1">
        <v>46094.614710648151</v>
      </c>
      <c r="AP10">
        <v>2</v>
      </c>
      <c r="AS10" s="1">
        <v>46094.617569444446</v>
      </c>
      <c r="AT10" s="1">
        <v>46094.786354166667</v>
      </c>
      <c r="AU10">
        <v>45</v>
      </c>
      <c r="AV10">
        <v>230</v>
      </c>
      <c r="AY10">
        <v>488453</v>
      </c>
      <c r="AZ10">
        <v>482131</v>
      </c>
      <c r="BA10">
        <v>25770</v>
      </c>
      <c r="BB10">
        <v>2960</v>
      </c>
      <c r="BC10">
        <v>2894</v>
      </c>
      <c r="BG10" s="1">
        <v>46094.786990740744</v>
      </c>
      <c r="BH10" s="1">
        <v>46094.799178240741</v>
      </c>
      <c r="BI10" s="1">
        <v>46094.803090277775</v>
      </c>
      <c r="BJ10" s="1">
        <v>46094.860381944447</v>
      </c>
      <c r="BM10">
        <v>4087</v>
      </c>
      <c r="BQ10">
        <v>352</v>
      </c>
      <c r="BR10" t="s">
        <v>695</v>
      </c>
      <c r="BT10" s="1">
        <v>46094.80195601852</v>
      </c>
      <c r="BU10" s="1">
        <v>46094.827650462961</v>
      </c>
      <c r="BV10" t="b">
        <v>0</v>
      </c>
      <c r="BW10">
        <v>7</v>
      </c>
      <c r="BY10" t="b">
        <v>0</v>
      </c>
      <c r="CC10">
        <v>0.9</v>
      </c>
      <c r="CD10">
        <v>0.9</v>
      </c>
      <c r="CE10" s="1">
        <v>46094.573483796295</v>
      </c>
      <c r="CF10" s="1">
        <v>46094.573483796295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>
        <v>2</v>
      </c>
      <c r="CP10">
        <v>3</v>
      </c>
      <c r="CQ10">
        <v>1</v>
      </c>
      <c r="CR10">
        <v>4</v>
      </c>
      <c r="CS10">
        <v>2818</v>
      </c>
      <c r="CT10">
        <v>2836</v>
      </c>
      <c r="CV10">
        <v>4.2</v>
      </c>
      <c r="CW10">
        <v>3.15</v>
      </c>
      <c r="CX10">
        <v>5.82</v>
      </c>
      <c r="CY10">
        <v>5.55</v>
      </c>
      <c r="CZ10">
        <v>4.74</v>
      </c>
      <c r="DA10">
        <v>4.66</v>
      </c>
      <c r="DB10">
        <v>5.84</v>
      </c>
      <c r="DC10">
        <v>5.72</v>
      </c>
      <c r="DD10">
        <v>4383</v>
      </c>
      <c r="DE10">
        <v>4465</v>
      </c>
      <c r="DF10">
        <v>417</v>
      </c>
      <c r="DG10">
        <v>416</v>
      </c>
      <c r="DH10">
        <v>4443</v>
      </c>
      <c r="DI10">
        <v>4461</v>
      </c>
      <c r="DJ10">
        <v>417</v>
      </c>
      <c r="DK10">
        <v>417</v>
      </c>
      <c r="EB10" s="1">
        <v>46094.860567129632</v>
      </c>
      <c r="EC10">
        <v>100</v>
      </c>
      <c r="ED10">
        <v>120</v>
      </c>
      <c r="EG10" s="1">
        <v>46094.860381944447</v>
      </c>
      <c r="EJ10" s="1">
        <v>46094.945173611108</v>
      </c>
      <c r="EK10">
        <v>0.04</v>
      </c>
      <c r="EL10">
        <v>854</v>
      </c>
      <c r="EM10">
        <v>2996</v>
      </c>
      <c r="EQ10">
        <v>11.83</v>
      </c>
      <c r="ER10">
        <v>3</v>
      </c>
      <c r="ES10">
        <v>2960</v>
      </c>
      <c r="ET10">
        <v>17.36</v>
      </c>
      <c r="EU10">
        <v>2</v>
      </c>
      <c r="EV10">
        <v>2913</v>
      </c>
      <c r="EW10">
        <v>17.18</v>
      </c>
      <c r="EX10">
        <v>2</v>
      </c>
      <c r="EY10">
        <v>2890</v>
      </c>
      <c r="EZ10">
        <v>17.350000000000001</v>
      </c>
      <c r="FA10">
        <v>2</v>
      </c>
      <c r="FB10">
        <v>2912</v>
      </c>
      <c r="FC10">
        <v>8.8000000000000007</v>
      </c>
      <c r="FF10" t="b">
        <v>1</v>
      </c>
      <c r="FG10" t="b">
        <v>1</v>
      </c>
      <c r="FH10" t="s">
        <v>571</v>
      </c>
      <c r="FI10" t="s">
        <v>571</v>
      </c>
      <c r="FJ10" t="s">
        <v>696</v>
      </c>
      <c r="FK10">
        <v>114</v>
      </c>
      <c r="FL10" s="1">
        <v>46094.944953703707</v>
      </c>
      <c r="FM10">
        <v>20</v>
      </c>
      <c r="FN10">
        <v>7100</v>
      </c>
      <c r="FO10">
        <v>7100</v>
      </c>
      <c r="FP10">
        <v>20</v>
      </c>
      <c r="FQ10">
        <v>7100</v>
      </c>
      <c r="FR10">
        <v>7100</v>
      </c>
      <c r="FS10" t="s">
        <v>580</v>
      </c>
      <c r="FT10" t="s">
        <v>564</v>
      </c>
      <c r="FV10" t="s">
        <v>572</v>
      </c>
      <c r="FW10" t="b">
        <v>0</v>
      </c>
      <c r="GA10" t="s">
        <v>697</v>
      </c>
      <c r="GB10">
        <v>18330</v>
      </c>
      <c r="GC10" s="1">
        <v>46094.80195601852</v>
      </c>
      <c r="GD10" t="s">
        <v>584</v>
      </c>
      <c r="GE10" t="s">
        <v>585</v>
      </c>
      <c r="GF10">
        <v>79</v>
      </c>
      <c r="GG10">
        <v>243</v>
      </c>
      <c r="GH10">
        <v>82</v>
      </c>
      <c r="GI10" t="s">
        <v>565</v>
      </c>
      <c r="GJ10">
        <v>241.07</v>
      </c>
      <c r="GK10">
        <v>2382</v>
      </c>
      <c r="GL10">
        <v>2354</v>
      </c>
      <c r="GM10" t="s">
        <v>586</v>
      </c>
      <c r="GN10" t="s">
        <v>587</v>
      </c>
      <c r="GO10">
        <v>2382</v>
      </c>
      <c r="GP10">
        <v>2354</v>
      </c>
      <c r="GQ10" t="s">
        <v>586</v>
      </c>
      <c r="GR10" t="s">
        <v>587</v>
      </c>
      <c r="HI10" s="2">
        <v>46094</v>
      </c>
      <c r="HJ10" t="s">
        <v>581</v>
      </c>
      <c r="HW10" t="b">
        <v>0</v>
      </c>
      <c r="IB10">
        <v>2890</v>
      </c>
      <c r="IE10" t="s">
        <v>698</v>
      </c>
      <c r="II10">
        <v>1</v>
      </c>
      <c r="IJ10">
        <v>2777</v>
      </c>
      <c r="IK10">
        <v>41</v>
      </c>
      <c r="IL10">
        <v>59</v>
      </c>
      <c r="IM10">
        <v>-2777</v>
      </c>
      <c r="IO10" t="s">
        <v>699</v>
      </c>
      <c r="IP10" t="s">
        <v>699</v>
      </c>
      <c r="IQ10" t="s">
        <v>582</v>
      </c>
      <c r="IR10">
        <v>7</v>
      </c>
      <c r="IU10" s="1">
        <v>46094.845810185187</v>
      </c>
      <c r="IV10">
        <v>26851</v>
      </c>
      <c r="IW10">
        <v>26851</v>
      </c>
      <c r="IX10">
        <v>26852</v>
      </c>
      <c r="IY10">
        <v>212.17880199999999</v>
      </c>
      <c r="IZ10">
        <v>19.121728999999998</v>
      </c>
      <c r="JA10">
        <v>0</v>
      </c>
      <c r="JB10">
        <v>0</v>
      </c>
      <c r="JC10">
        <v>1.1565019999999999</v>
      </c>
      <c r="JD10">
        <v>232.457033</v>
      </c>
      <c r="JE10">
        <v>232.457033</v>
      </c>
      <c r="JF10">
        <v>91.276499999999999</v>
      </c>
      <c r="JG10">
        <v>4</v>
      </c>
      <c r="JH10">
        <v>100</v>
      </c>
      <c r="JI10">
        <v>0</v>
      </c>
      <c r="JJ10">
        <v>189592.878195</v>
      </c>
      <c r="JK10">
        <v>1203</v>
      </c>
      <c r="JL10">
        <v>60.9</v>
      </c>
      <c r="JM10">
        <v>9.125</v>
      </c>
      <c r="JN10">
        <v>100</v>
      </c>
      <c r="JO10">
        <v>94.796439000000007</v>
      </c>
      <c r="JP10">
        <v>0.51338200000000001</v>
      </c>
      <c r="JQ10">
        <v>7.8800030000000003</v>
      </c>
      <c r="JR10">
        <v>15760.0065</v>
      </c>
      <c r="JS10">
        <v>0</v>
      </c>
      <c r="JT10">
        <v>5</v>
      </c>
      <c r="JU10">
        <v>120</v>
      </c>
      <c r="JV10">
        <v>0</v>
      </c>
      <c r="JW10">
        <v>234764.72696299999</v>
      </c>
      <c r="JX10">
        <v>1253</v>
      </c>
      <c r="JY10">
        <v>72.900000000000006</v>
      </c>
      <c r="JZ10">
        <v>9.0625</v>
      </c>
      <c r="KA10">
        <v>120</v>
      </c>
      <c r="KB10">
        <v>117.382363</v>
      </c>
      <c r="KC10">
        <v>0.64312000000000002</v>
      </c>
      <c r="KD10">
        <v>11.241726</v>
      </c>
      <c r="KE10">
        <v>22483.4535</v>
      </c>
      <c r="KF10">
        <v>0</v>
      </c>
      <c r="KG10">
        <v>0</v>
      </c>
      <c r="KH10">
        <v>0</v>
      </c>
      <c r="KI10">
        <v>0</v>
      </c>
      <c r="KJ10">
        <v>7100</v>
      </c>
      <c r="KK10">
        <v>0.28360000000000002</v>
      </c>
      <c r="KL10">
        <v>26851</v>
      </c>
      <c r="KN10">
        <v>42160</v>
      </c>
      <c r="KP10">
        <v>252240</v>
      </c>
      <c r="KT10">
        <v>99440</v>
      </c>
      <c r="KW10">
        <v>49440</v>
      </c>
      <c r="KX10">
        <v>32060</v>
      </c>
      <c r="LV10">
        <v>110700</v>
      </c>
      <c r="MD10">
        <v>52520</v>
      </c>
      <c r="MQ10">
        <v>38399</v>
      </c>
      <c r="MS10">
        <v>214111</v>
      </c>
      <c r="MW10">
        <v>102398</v>
      </c>
      <c r="MZ10">
        <v>51199</v>
      </c>
      <c r="NO10">
        <v>31999</v>
      </c>
      <c r="NY10">
        <v>108798</v>
      </c>
      <c r="OG10">
        <v>51199</v>
      </c>
      <c r="PA10">
        <v>875</v>
      </c>
      <c r="PB10">
        <v>4100</v>
      </c>
      <c r="PC10">
        <v>442898</v>
      </c>
      <c r="PD10">
        <v>41135</v>
      </c>
      <c r="PE10">
        <v>10172</v>
      </c>
      <c r="PG10">
        <v>3</v>
      </c>
      <c r="PJ10">
        <v>17144</v>
      </c>
      <c r="PM10">
        <v>15576</v>
      </c>
      <c r="PR10">
        <v>100</v>
      </c>
      <c r="PW10">
        <v>3586</v>
      </c>
      <c r="PX10">
        <v>797</v>
      </c>
      <c r="PY10">
        <v>1907</v>
      </c>
      <c r="QD10">
        <v>800</v>
      </c>
      <c r="QE10">
        <v>1898</v>
      </c>
      <c r="QI10">
        <v>457</v>
      </c>
      <c r="QK10">
        <v>11</v>
      </c>
      <c r="QM10">
        <v>9</v>
      </c>
      <c r="QY10">
        <v>50</v>
      </c>
      <c r="RL10">
        <v>5</v>
      </c>
      <c r="RM10">
        <v>1</v>
      </c>
      <c r="RN10">
        <v>2</v>
      </c>
      <c r="RO10">
        <v>1</v>
      </c>
      <c r="RP10">
        <v>1</v>
      </c>
      <c r="RS10">
        <v>1</v>
      </c>
      <c r="RV10">
        <v>1</v>
      </c>
      <c r="SD10">
        <v>28</v>
      </c>
      <c r="SE10" s="1">
        <v>46086.322222222225</v>
      </c>
      <c r="SF10">
        <v>26851</v>
      </c>
      <c r="SG10">
        <v>403324</v>
      </c>
      <c r="SH10">
        <v>20</v>
      </c>
      <c r="SI10" t="s">
        <v>567</v>
      </c>
      <c r="SJ10">
        <v>50</v>
      </c>
      <c r="SK10" s="1">
        <v>46094.866180555553</v>
      </c>
      <c r="SZ10">
        <v>9.7000000000000003E-2</v>
      </c>
      <c r="TA10">
        <v>0.34599999999999997</v>
      </c>
      <c r="TB10">
        <v>1.2800000000000001E-2</v>
      </c>
      <c r="TC10">
        <v>3.7000000000000002E-3</v>
      </c>
      <c r="TD10">
        <v>2.5000000000000001E-2</v>
      </c>
      <c r="TE10">
        <v>9.6000000000000002E-2</v>
      </c>
      <c r="TF10">
        <v>4.2999999999999997E-2</v>
      </c>
      <c r="TG10">
        <v>7.2999999999999995E-2</v>
      </c>
      <c r="TH10">
        <v>2.5999999999999999E-2</v>
      </c>
      <c r="TI10">
        <v>3.1E-2</v>
      </c>
      <c r="TJ10">
        <v>7.0000000000000001E-3</v>
      </c>
      <c r="TK10">
        <v>3.7261899999999999</v>
      </c>
      <c r="TL10" t="s">
        <v>583</v>
      </c>
      <c r="TM10" t="s">
        <v>568</v>
      </c>
      <c r="TN10">
        <v>2.5999999999999999E-3</v>
      </c>
      <c r="TO10" t="s">
        <v>568</v>
      </c>
      <c r="TP10">
        <v>2.3999999999999998E-3</v>
      </c>
      <c r="TQ10">
        <v>8.3999999999999995E-3</v>
      </c>
      <c r="TR10">
        <v>5.0000000000000001E-4</v>
      </c>
      <c r="TS10">
        <v>3.3999999999999998E-3</v>
      </c>
      <c r="TU10">
        <v>0.1273</v>
      </c>
      <c r="TV10">
        <v>4.4999999999999997E-3</v>
      </c>
      <c r="UD10">
        <v>0.18</v>
      </c>
      <c r="UE10">
        <v>0.18379999999999999</v>
      </c>
      <c r="UF10">
        <v>0.12</v>
      </c>
      <c r="UH10">
        <v>2.5999999999999998E-4</v>
      </c>
      <c r="UJ10">
        <v>0.24959999999999999</v>
      </c>
      <c r="UK10">
        <v>0.15</v>
      </c>
      <c r="UL10">
        <v>0.21</v>
      </c>
      <c r="UM10">
        <v>3.0000000000000001E-3</v>
      </c>
      <c r="UN10">
        <v>0.23799999999999999</v>
      </c>
      <c r="UO10">
        <v>2.7231000000000001</v>
      </c>
      <c r="UP10">
        <v>1.32</v>
      </c>
      <c r="UQ10">
        <v>0.76</v>
      </c>
      <c r="UR10" s="1">
        <v>46086.322222222225</v>
      </c>
    </row>
    <row r="11" spans="1:564" x14ac:dyDescent="0.35">
      <c r="A11">
        <v>26852</v>
      </c>
      <c r="B11">
        <v>18331</v>
      </c>
      <c r="C11">
        <v>850</v>
      </c>
      <c r="D11">
        <v>26100</v>
      </c>
      <c r="G11" t="s">
        <v>579</v>
      </c>
      <c r="H11">
        <v>500000</v>
      </c>
      <c r="I11" s="1">
        <v>46094.94431712963</v>
      </c>
      <c r="J11">
        <v>61</v>
      </c>
      <c r="K11">
        <v>300</v>
      </c>
      <c r="L11" t="s">
        <v>623</v>
      </c>
      <c r="M11">
        <v>73</v>
      </c>
      <c r="N11">
        <v>250</v>
      </c>
      <c r="O11" t="s">
        <v>700</v>
      </c>
      <c r="P11">
        <v>3</v>
      </c>
      <c r="S11" s="1">
        <v>46094.613553240742</v>
      </c>
      <c r="U11">
        <v>62</v>
      </c>
      <c r="W11">
        <v>10</v>
      </c>
      <c r="X11">
        <v>495910</v>
      </c>
      <c r="Y11" s="1">
        <v>46094.664293981485</v>
      </c>
      <c r="AB11">
        <v>80231</v>
      </c>
      <c r="AC11">
        <v>115</v>
      </c>
      <c r="AD11">
        <v>923</v>
      </c>
      <c r="AE11">
        <v>239948</v>
      </c>
      <c r="AF11">
        <v>0.06</v>
      </c>
      <c r="AG11">
        <v>637</v>
      </c>
      <c r="AH11">
        <v>2916</v>
      </c>
      <c r="AI11">
        <v>0.04</v>
      </c>
      <c r="AJ11">
        <v>953</v>
      </c>
      <c r="AK11">
        <v>2998</v>
      </c>
      <c r="AL11">
        <v>4</v>
      </c>
      <c r="AM11" t="s">
        <v>701</v>
      </c>
      <c r="AO11" s="1">
        <v>46094.816030092596</v>
      </c>
      <c r="AP11">
        <v>1</v>
      </c>
      <c r="AS11" s="1">
        <v>46094.668576388889</v>
      </c>
      <c r="AT11" s="1">
        <v>46094.815717592595</v>
      </c>
      <c r="AU11">
        <v>31</v>
      </c>
      <c r="AV11">
        <v>185</v>
      </c>
      <c r="AY11">
        <v>463358</v>
      </c>
      <c r="AZ11">
        <v>455704</v>
      </c>
      <c r="BA11">
        <v>3090</v>
      </c>
      <c r="BB11">
        <v>2973</v>
      </c>
      <c r="BC11">
        <v>2872</v>
      </c>
      <c r="BD11">
        <v>0</v>
      </c>
      <c r="BG11" s="1">
        <v>46094.816168981481</v>
      </c>
      <c r="BH11" s="1">
        <v>46094.824560185189</v>
      </c>
      <c r="BI11" s="1">
        <v>46094.860405092593</v>
      </c>
      <c r="BJ11" s="1">
        <v>46094.895428240743</v>
      </c>
      <c r="BK11">
        <v>1.1000000000000001</v>
      </c>
      <c r="BL11">
        <v>8</v>
      </c>
      <c r="BM11">
        <v>4087</v>
      </c>
      <c r="BT11" s="1">
        <v>46094.829421296294</v>
      </c>
      <c r="BU11" s="1">
        <v>46094.854421296295</v>
      </c>
      <c r="BV11" t="b">
        <v>1</v>
      </c>
      <c r="BW11">
        <v>7</v>
      </c>
      <c r="BX11">
        <v>2</v>
      </c>
      <c r="BY11" t="b">
        <v>0</v>
      </c>
      <c r="BZ11">
        <v>1</v>
      </c>
      <c r="CC11">
        <v>0.9</v>
      </c>
      <c r="CD11">
        <v>0.9</v>
      </c>
      <c r="CE11" s="1">
        <v>46094.573171296295</v>
      </c>
      <c r="CF11" s="1">
        <v>46094.573171296295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>
        <v>2</v>
      </c>
      <c r="CP11">
        <v>3</v>
      </c>
      <c r="CQ11">
        <v>1</v>
      </c>
      <c r="CR11">
        <v>4</v>
      </c>
      <c r="CS11">
        <v>2839</v>
      </c>
      <c r="CT11">
        <v>2832</v>
      </c>
      <c r="CU11">
        <v>2835</v>
      </c>
      <c r="CV11">
        <v>5.04</v>
      </c>
      <c r="CW11">
        <v>4.57</v>
      </c>
      <c r="CX11">
        <v>8.11</v>
      </c>
      <c r="CY11">
        <v>7.69</v>
      </c>
      <c r="CZ11">
        <v>5.94</v>
      </c>
      <c r="DA11">
        <v>5.85</v>
      </c>
      <c r="DB11">
        <v>7.96</v>
      </c>
      <c r="DC11">
        <v>7.01</v>
      </c>
      <c r="DD11">
        <v>4434</v>
      </c>
      <c r="DE11">
        <v>4440</v>
      </c>
      <c r="DF11">
        <v>415</v>
      </c>
      <c r="DG11">
        <v>417</v>
      </c>
      <c r="DH11">
        <v>4434</v>
      </c>
      <c r="DI11">
        <v>4451</v>
      </c>
      <c r="DJ11">
        <v>418</v>
      </c>
      <c r="DK11">
        <v>415</v>
      </c>
      <c r="DL11">
        <v>4430</v>
      </c>
      <c r="DM11">
        <v>4469</v>
      </c>
      <c r="DN11">
        <v>418</v>
      </c>
      <c r="DO11">
        <v>417</v>
      </c>
      <c r="DP11">
        <v>4458</v>
      </c>
      <c r="DQ11">
        <v>4463</v>
      </c>
      <c r="DR11">
        <v>415</v>
      </c>
      <c r="DS11">
        <v>417</v>
      </c>
      <c r="DT11">
        <v>4439</v>
      </c>
      <c r="DU11">
        <v>4446</v>
      </c>
      <c r="DV11">
        <v>414</v>
      </c>
      <c r="DW11">
        <v>416</v>
      </c>
      <c r="DX11">
        <v>4451</v>
      </c>
      <c r="DY11">
        <v>4455</v>
      </c>
      <c r="DZ11">
        <v>418</v>
      </c>
      <c r="EA11">
        <v>417</v>
      </c>
      <c r="EB11" s="1">
        <v>46094.868715277778</v>
      </c>
      <c r="EE11">
        <v>180</v>
      </c>
      <c r="EF11">
        <v>94</v>
      </c>
      <c r="EG11" s="1">
        <v>46094.895428240743</v>
      </c>
      <c r="EJ11" s="1">
        <v>46094.949444444443</v>
      </c>
      <c r="EQ11">
        <v>0.25</v>
      </c>
      <c r="ER11">
        <v>144</v>
      </c>
      <c r="ES11">
        <v>2973</v>
      </c>
      <c r="ET11">
        <v>0</v>
      </c>
      <c r="EU11">
        <v>0</v>
      </c>
      <c r="EV11">
        <v>2869</v>
      </c>
      <c r="EW11">
        <v>0</v>
      </c>
      <c r="EX11">
        <v>0</v>
      </c>
      <c r="EY11">
        <v>2869</v>
      </c>
      <c r="EZ11">
        <v>0</v>
      </c>
      <c r="FA11">
        <v>0</v>
      </c>
      <c r="FB11">
        <v>2962</v>
      </c>
      <c r="FC11">
        <v>6.1</v>
      </c>
      <c r="FJ11" t="s">
        <v>702</v>
      </c>
      <c r="FK11">
        <v>113</v>
      </c>
      <c r="FL11" s="1">
        <v>46094.949247685188</v>
      </c>
      <c r="FM11">
        <v>20</v>
      </c>
      <c r="FN11">
        <v>7100</v>
      </c>
      <c r="FO11">
        <v>7100</v>
      </c>
      <c r="FP11">
        <v>20</v>
      </c>
      <c r="FQ11">
        <v>7100</v>
      </c>
      <c r="FR11">
        <v>7100</v>
      </c>
      <c r="FS11" t="s">
        <v>580</v>
      </c>
      <c r="FT11" t="s">
        <v>615</v>
      </c>
      <c r="FV11" t="s">
        <v>572</v>
      </c>
      <c r="FW11" t="b">
        <v>0</v>
      </c>
      <c r="GA11" t="s">
        <v>703</v>
      </c>
      <c r="GB11">
        <v>18331</v>
      </c>
      <c r="GC11" s="1">
        <v>46094.829421296294</v>
      </c>
      <c r="GD11" t="s">
        <v>584</v>
      </c>
      <c r="GE11" t="s">
        <v>585</v>
      </c>
      <c r="GF11">
        <v>73</v>
      </c>
      <c r="GG11">
        <v>212</v>
      </c>
      <c r="GH11">
        <v>51</v>
      </c>
      <c r="GI11" t="s">
        <v>573</v>
      </c>
      <c r="GJ11">
        <v>247.96</v>
      </c>
      <c r="GK11">
        <v>2382</v>
      </c>
      <c r="GL11">
        <v>2352</v>
      </c>
      <c r="GM11" t="s">
        <v>586</v>
      </c>
      <c r="GN11" t="s">
        <v>629</v>
      </c>
      <c r="GO11">
        <v>2382</v>
      </c>
      <c r="GP11">
        <v>2354</v>
      </c>
      <c r="GQ11" t="s">
        <v>586</v>
      </c>
      <c r="GR11" t="s">
        <v>587</v>
      </c>
      <c r="GS11">
        <v>1570</v>
      </c>
      <c r="GT11">
        <v>1880</v>
      </c>
      <c r="GU11">
        <v>8.6999999999999993</v>
      </c>
      <c r="GV11">
        <v>9.6999999999999993</v>
      </c>
      <c r="GW11">
        <v>8.4</v>
      </c>
      <c r="GX11">
        <v>10.6</v>
      </c>
      <c r="GY11">
        <v>8.3000000000000007</v>
      </c>
      <c r="GZ11">
        <v>9.6999999999999993</v>
      </c>
      <c r="HA11">
        <v>8</v>
      </c>
      <c r="HB11">
        <v>9.9</v>
      </c>
      <c r="HC11">
        <v>60.73</v>
      </c>
      <c r="HD11">
        <v>72.88</v>
      </c>
      <c r="HE11">
        <v>61</v>
      </c>
      <c r="HF11">
        <v>72</v>
      </c>
      <c r="HI11" s="2">
        <v>46094</v>
      </c>
      <c r="HJ11" t="s">
        <v>581</v>
      </c>
      <c r="HK11" t="s">
        <v>574</v>
      </c>
      <c r="HM11">
        <v>2</v>
      </c>
      <c r="HN11">
        <v>2</v>
      </c>
      <c r="HV11">
        <v>2</v>
      </c>
      <c r="HW11" t="b">
        <v>1</v>
      </c>
      <c r="HX11" s="1">
        <v>46094.859375</v>
      </c>
      <c r="HY11" t="b">
        <v>1</v>
      </c>
      <c r="HZ11" t="s">
        <v>704</v>
      </c>
      <c r="IA11" t="s">
        <v>705</v>
      </c>
      <c r="IB11">
        <v>2865</v>
      </c>
      <c r="IJ11">
        <v>2777</v>
      </c>
      <c r="IK11">
        <v>62</v>
      </c>
      <c r="IL11">
        <v>55</v>
      </c>
      <c r="IM11">
        <v>58</v>
      </c>
      <c r="IO11" t="s">
        <v>706</v>
      </c>
      <c r="IP11" t="s">
        <v>706</v>
      </c>
      <c r="IQ11" t="s">
        <v>582</v>
      </c>
      <c r="IR11">
        <v>8</v>
      </c>
      <c r="IU11" s="1">
        <v>46094.895173611112</v>
      </c>
      <c r="IV11">
        <v>26852</v>
      </c>
      <c r="IW11">
        <v>26851</v>
      </c>
      <c r="IX11">
        <v>26852</v>
      </c>
      <c r="IY11">
        <v>211.661359</v>
      </c>
      <c r="IZ11">
        <v>22.990023999999998</v>
      </c>
      <c r="JA11">
        <v>9.1</v>
      </c>
      <c r="JB11">
        <v>0</v>
      </c>
      <c r="JC11">
        <v>1.1732560000000001</v>
      </c>
      <c r="JD11">
        <v>235.82463899999999</v>
      </c>
      <c r="JE11">
        <v>244.92463900000001</v>
      </c>
      <c r="JF11">
        <v>86.418899999999994</v>
      </c>
      <c r="JG11">
        <v>4</v>
      </c>
      <c r="JH11">
        <v>0</v>
      </c>
      <c r="JI11">
        <v>180</v>
      </c>
      <c r="JJ11">
        <v>189120.07800000001</v>
      </c>
      <c r="JK11">
        <v>1200</v>
      </c>
      <c r="JL11">
        <v>60.9</v>
      </c>
      <c r="JM11">
        <v>9.125</v>
      </c>
      <c r="JN11">
        <v>180</v>
      </c>
      <c r="JO11">
        <v>94.560039000000003</v>
      </c>
      <c r="JP11">
        <v>0.54371999999999998</v>
      </c>
      <c r="JQ11">
        <v>14.184005000000001</v>
      </c>
      <c r="JR11">
        <v>0</v>
      </c>
      <c r="JS11">
        <v>28368.011699999999</v>
      </c>
      <c r="JT11">
        <v>5</v>
      </c>
      <c r="JU11">
        <v>0</v>
      </c>
      <c r="JV11">
        <v>94</v>
      </c>
      <c r="JW11">
        <v>234202.640625</v>
      </c>
      <c r="JX11">
        <v>1250</v>
      </c>
      <c r="JY11">
        <v>72.900000000000006</v>
      </c>
      <c r="JZ11">
        <v>9.0625</v>
      </c>
      <c r="KA11">
        <v>94</v>
      </c>
      <c r="KB11">
        <v>117.10132</v>
      </c>
      <c r="KC11">
        <v>0.62953599999999998</v>
      </c>
      <c r="KD11">
        <v>8.8060189999999992</v>
      </c>
      <c r="KE11">
        <v>0</v>
      </c>
      <c r="KF11">
        <v>17612.038574999999</v>
      </c>
      <c r="KG11">
        <v>1.1000000000000001</v>
      </c>
      <c r="KH11">
        <v>8</v>
      </c>
      <c r="KI11">
        <v>0</v>
      </c>
      <c r="KJ11">
        <v>7100</v>
      </c>
      <c r="KK11">
        <v>0.28360000000000002</v>
      </c>
      <c r="KL11">
        <v>26852</v>
      </c>
      <c r="KN11">
        <v>32260</v>
      </c>
      <c r="KP11">
        <v>216500</v>
      </c>
      <c r="KT11">
        <v>88040</v>
      </c>
      <c r="KW11">
        <v>41280</v>
      </c>
      <c r="KX11">
        <v>27180</v>
      </c>
      <c r="LV11">
        <v>97540</v>
      </c>
      <c r="MD11">
        <v>47700</v>
      </c>
      <c r="MQ11">
        <v>33074</v>
      </c>
      <c r="MS11">
        <v>177968</v>
      </c>
      <c r="MW11">
        <v>88198</v>
      </c>
      <c r="MZ11">
        <v>44099</v>
      </c>
      <c r="NO11">
        <v>27561</v>
      </c>
      <c r="NY11">
        <v>93710</v>
      </c>
      <c r="OG11">
        <v>44099</v>
      </c>
      <c r="PA11">
        <v>751</v>
      </c>
      <c r="PB11">
        <v>4062</v>
      </c>
      <c r="PC11">
        <v>388033</v>
      </c>
      <c r="PD11">
        <v>37703</v>
      </c>
      <c r="PE11">
        <v>8841</v>
      </c>
      <c r="PG11">
        <v>2</v>
      </c>
      <c r="PJ11">
        <v>15653</v>
      </c>
      <c r="PM11">
        <v>15805</v>
      </c>
      <c r="PR11">
        <v>100</v>
      </c>
      <c r="PV11">
        <v>4025</v>
      </c>
      <c r="PW11">
        <v>4815</v>
      </c>
      <c r="PX11">
        <v>1047</v>
      </c>
      <c r="PY11">
        <v>1799</v>
      </c>
      <c r="QD11">
        <v>749</v>
      </c>
      <c r="QE11">
        <v>949</v>
      </c>
      <c r="QI11">
        <v>150</v>
      </c>
      <c r="QK11">
        <v>9</v>
      </c>
      <c r="QM11">
        <v>8</v>
      </c>
      <c r="QY11">
        <v>100</v>
      </c>
      <c r="RL11">
        <v>5</v>
      </c>
      <c r="RN11">
        <v>3</v>
      </c>
      <c r="RO11">
        <v>1</v>
      </c>
      <c r="RP11">
        <v>1</v>
      </c>
      <c r="SD11">
        <v>3</v>
      </c>
      <c r="SE11" s="1">
        <v>46086.322222222225</v>
      </c>
      <c r="SF11">
        <v>26852</v>
      </c>
      <c r="SG11">
        <v>403328</v>
      </c>
      <c r="SH11">
        <v>20</v>
      </c>
      <c r="SI11" t="s">
        <v>567</v>
      </c>
      <c r="SJ11">
        <v>50</v>
      </c>
      <c r="SK11" s="1">
        <v>46094.886365740742</v>
      </c>
      <c r="SZ11">
        <v>8.6999999999999994E-2</v>
      </c>
      <c r="TA11">
        <v>0.35</v>
      </c>
      <c r="TB11">
        <v>1.24E-2</v>
      </c>
      <c r="TC11">
        <v>6.3E-3</v>
      </c>
      <c r="TD11">
        <v>2.1999999999999999E-2</v>
      </c>
      <c r="TE11">
        <v>9.2999999999999999E-2</v>
      </c>
      <c r="TF11">
        <v>4.2000000000000003E-2</v>
      </c>
      <c r="TG11">
        <v>6.8000000000000005E-2</v>
      </c>
      <c r="TH11">
        <v>2.5000000000000001E-2</v>
      </c>
      <c r="TI11">
        <v>0.03</v>
      </c>
      <c r="TJ11">
        <v>8.0000000000000002E-3</v>
      </c>
      <c r="TK11">
        <v>3.6626500000000002</v>
      </c>
      <c r="TL11" t="s">
        <v>583</v>
      </c>
      <c r="TM11" t="s">
        <v>568</v>
      </c>
      <c r="TN11">
        <v>1.9E-3</v>
      </c>
      <c r="TO11" t="s">
        <v>568</v>
      </c>
      <c r="TP11" t="s">
        <v>569</v>
      </c>
      <c r="TQ11">
        <v>8.3000000000000001E-3</v>
      </c>
      <c r="TR11">
        <v>2.9999999999999997E-4</v>
      </c>
      <c r="TS11" t="s">
        <v>576</v>
      </c>
      <c r="TU11">
        <v>0.1164</v>
      </c>
      <c r="TV11">
        <v>4.3E-3</v>
      </c>
      <c r="UD11">
        <v>0.17</v>
      </c>
      <c r="UE11">
        <v>0.17330000000000001</v>
      </c>
      <c r="UF11">
        <v>0.11</v>
      </c>
      <c r="UH11">
        <v>2.5000000000000001E-4</v>
      </c>
      <c r="UJ11">
        <v>0.2392</v>
      </c>
      <c r="UK11">
        <v>0.16</v>
      </c>
      <c r="UL11">
        <v>0.2</v>
      </c>
      <c r="UM11">
        <v>1.9E-3</v>
      </c>
      <c r="UN11">
        <v>0.22800000000000001</v>
      </c>
      <c r="UO11">
        <v>2.6374</v>
      </c>
      <c r="UP11">
        <v>1.37</v>
      </c>
      <c r="UQ11">
        <v>0.73</v>
      </c>
      <c r="UR11" s="1">
        <v>46086.322222222225</v>
      </c>
    </row>
    <row r="12" spans="1:564" x14ac:dyDescent="0.35">
      <c r="A12">
        <v>27735</v>
      </c>
      <c r="B12">
        <v>17864</v>
      </c>
      <c r="C12">
        <v>850</v>
      </c>
      <c r="D12">
        <v>26002</v>
      </c>
      <c r="G12" t="s">
        <v>609</v>
      </c>
      <c r="H12">
        <v>500000</v>
      </c>
      <c r="I12" s="1">
        <v>46036.406284722223</v>
      </c>
      <c r="J12">
        <v>73</v>
      </c>
      <c r="K12">
        <v>315</v>
      </c>
      <c r="L12" t="s">
        <v>646</v>
      </c>
      <c r="O12" t="s">
        <v>647</v>
      </c>
      <c r="P12">
        <v>2</v>
      </c>
      <c r="S12" s="1">
        <v>46034.070509259262</v>
      </c>
      <c r="U12">
        <v>122</v>
      </c>
      <c r="W12">
        <v>833</v>
      </c>
      <c r="X12">
        <v>495910</v>
      </c>
      <c r="Y12" s="1">
        <v>46034.733831018515</v>
      </c>
      <c r="AB12">
        <v>142130</v>
      </c>
      <c r="AC12">
        <v>2</v>
      </c>
      <c r="AD12">
        <v>452</v>
      </c>
      <c r="AE12">
        <v>85780</v>
      </c>
      <c r="AF12">
        <v>0.15</v>
      </c>
      <c r="AG12">
        <v>226</v>
      </c>
      <c r="AH12">
        <v>2835</v>
      </c>
      <c r="AI12">
        <v>0.06</v>
      </c>
      <c r="AJ12">
        <v>560</v>
      </c>
      <c r="AK12">
        <v>2967</v>
      </c>
      <c r="AL12">
        <v>812</v>
      </c>
      <c r="AM12" t="s">
        <v>683</v>
      </c>
      <c r="AO12" s="1">
        <v>46036.371608796297</v>
      </c>
      <c r="AP12">
        <v>2</v>
      </c>
      <c r="AS12" s="1">
        <v>46033.307673611111</v>
      </c>
      <c r="AT12" s="1">
        <v>46036.373680555553</v>
      </c>
      <c r="AU12">
        <v>90</v>
      </c>
      <c r="AV12">
        <v>557</v>
      </c>
      <c r="AY12">
        <v>476337</v>
      </c>
      <c r="AZ12">
        <v>469995</v>
      </c>
      <c r="BA12">
        <v>8860</v>
      </c>
      <c r="BB12">
        <v>2896</v>
      </c>
      <c r="BC12">
        <v>2962</v>
      </c>
      <c r="BD12">
        <v>0</v>
      </c>
      <c r="BF12" t="s">
        <v>684</v>
      </c>
      <c r="BG12" s="1">
        <v>46036.374525462961</v>
      </c>
      <c r="BJ12" s="1">
        <v>46036.637974537036</v>
      </c>
      <c r="BS12" t="s">
        <v>685</v>
      </c>
      <c r="BT12" s="1">
        <v>46037.243773148148</v>
      </c>
      <c r="BU12" s="1">
        <v>46037.340300925927</v>
      </c>
      <c r="BV12" t="b">
        <v>0</v>
      </c>
      <c r="BY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EB12" s="1">
        <v>46055.642858796295</v>
      </c>
      <c r="EG12" s="1">
        <v>46036.637974537036</v>
      </c>
      <c r="EJ12" s="1">
        <v>46055.643067129633</v>
      </c>
      <c r="EK12">
        <v>0.04</v>
      </c>
      <c r="EL12">
        <v>842</v>
      </c>
      <c r="EM12">
        <v>2892</v>
      </c>
      <c r="EN12">
        <v>0.03</v>
      </c>
      <c r="EO12">
        <v>1124</v>
      </c>
      <c r="EP12">
        <v>2996</v>
      </c>
      <c r="EQ12">
        <v>8.61</v>
      </c>
      <c r="ER12">
        <v>4</v>
      </c>
      <c r="ES12">
        <v>2896</v>
      </c>
      <c r="ET12">
        <v>0</v>
      </c>
      <c r="EU12">
        <v>0</v>
      </c>
      <c r="EV12">
        <v>2908</v>
      </c>
      <c r="EW12">
        <v>0</v>
      </c>
      <c r="EX12">
        <v>0</v>
      </c>
      <c r="EY12">
        <v>2946</v>
      </c>
      <c r="EZ12">
        <v>0</v>
      </c>
      <c r="FA12">
        <v>0</v>
      </c>
      <c r="FB12">
        <v>2955</v>
      </c>
      <c r="FJ12" t="s">
        <v>686</v>
      </c>
      <c r="FK12">
        <v>113</v>
      </c>
      <c r="FL12" s="1">
        <v>46055.642858796295</v>
      </c>
      <c r="FM12">
        <v>88</v>
      </c>
      <c r="FN12">
        <v>7604</v>
      </c>
      <c r="FO12">
        <v>7604</v>
      </c>
      <c r="FP12">
        <v>88</v>
      </c>
      <c r="FQ12">
        <v>7604</v>
      </c>
      <c r="FR12">
        <v>7604</v>
      </c>
      <c r="FS12" t="s">
        <v>610</v>
      </c>
      <c r="FT12" t="s">
        <v>564</v>
      </c>
      <c r="FV12" t="s">
        <v>572</v>
      </c>
      <c r="FW12" t="b">
        <v>0</v>
      </c>
      <c r="GA12" t="s">
        <v>687</v>
      </c>
      <c r="GB12">
        <v>17864</v>
      </c>
      <c r="GC12" s="1">
        <v>46037.243773148148</v>
      </c>
      <c r="GD12" t="s">
        <v>644</v>
      </c>
      <c r="GE12" t="s">
        <v>593</v>
      </c>
      <c r="GF12">
        <v>955</v>
      </c>
      <c r="GG12">
        <v>4415</v>
      </c>
      <c r="GI12" t="s">
        <v>565</v>
      </c>
      <c r="GJ12">
        <v>247.96</v>
      </c>
      <c r="GK12">
        <v>2101</v>
      </c>
      <c r="GM12" t="s">
        <v>645</v>
      </c>
      <c r="GO12">
        <v>2101</v>
      </c>
      <c r="GQ12" t="s">
        <v>645</v>
      </c>
      <c r="HI12" s="2">
        <v>46037</v>
      </c>
      <c r="HO12">
        <v>5</v>
      </c>
      <c r="HW12" t="b">
        <v>0</v>
      </c>
      <c r="IC12">
        <v>210</v>
      </c>
      <c r="IJ12">
        <v>2775</v>
      </c>
      <c r="IK12">
        <v>-2775</v>
      </c>
      <c r="IL12">
        <v>-2775</v>
      </c>
      <c r="IM12">
        <v>-2775</v>
      </c>
      <c r="IN12" t="s">
        <v>611</v>
      </c>
      <c r="IO12" t="s">
        <v>648</v>
      </c>
      <c r="IP12" t="s">
        <v>648</v>
      </c>
      <c r="IQ12" t="s">
        <v>575</v>
      </c>
      <c r="IR12">
        <v>7</v>
      </c>
      <c r="IV12">
        <v>27735</v>
      </c>
      <c r="IY12">
        <v>0</v>
      </c>
      <c r="IZ12">
        <v>0</v>
      </c>
      <c r="JA12">
        <v>210</v>
      </c>
      <c r="JB12">
        <v>0</v>
      </c>
      <c r="JC12">
        <v>0</v>
      </c>
      <c r="JD12">
        <v>0</v>
      </c>
      <c r="JE12">
        <v>210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73</v>
      </c>
      <c r="JM12">
        <v>9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73</v>
      </c>
      <c r="JZ12">
        <v>9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210</v>
      </c>
      <c r="KJ12">
        <v>7604</v>
      </c>
      <c r="KK12">
        <v>0.28360000000000002</v>
      </c>
      <c r="KL12">
        <v>27735</v>
      </c>
      <c r="KM12">
        <v>156380</v>
      </c>
      <c r="KN12">
        <v>44000</v>
      </c>
      <c r="KP12">
        <v>65000</v>
      </c>
      <c r="KW12">
        <v>45080</v>
      </c>
      <c r="KX12">
        <v>55900</v>
      </c>
      <c r="LL12">
        <v>18740</v>
      </c>
      <c r="LV12">
        <v>43900</v>
      </c>
      <c r="MD12">
        <v>19760</v>
      </c>
      <c r="MP12">
        <v>153998</v>
      </c>
      <c r="MQ12">
        <v>43999</v>
      </c>
      <c r="MS12">
        <v>104498</v>
      </c>
      <c r="MZ12">
        <v>43999</v>
      </c>
      <c r="NA12">
        <v>13908</v>
      </c>
      <c r="NO12">
        <v>16499</v>
      </c>
      <c r="NY12">
        <v>43999</v>
      </c>
      <c r="OG12">
        <v>21999</v>
      </c>
      <c r="PA12">
        <v>634</v>
      </c>
      <c r="PB12">
        <v>2005</v>
      </c>
      <c r="PC12">
        <v>455415</v>
      </c>
      <c r="PD12">
        <v>62025</v>
      </c>
      <c r="PE12">
        <v>10081</v>
      </c>
      <c r="PG12">
        <v>8</v>
      </c>
      <c r="PI12">
        <v>2</v>
      </c>
      <c r="PJ12">
        <v>21078</v>
      </c>
      <c r="PM12">
        <v>13486</v>
      </c>
      <c r="PW12">
        <v>3939</v>
      </c>
      <c r="PX12">
        <v>244</v>
      </c>
      <c r="QA12">
        <v>959</v>
      </c>
      <c r="QC12">
        <v>492</v>
      </c>
      <c r="QD12">
        <v>445</v>
      </c>
      <c r="QK12">
        <v>15</v>
      </c>
      <c r="QS12">
        <v>500</v>
      </c>
      <c r="SE12" s="1">
        <v>46086.322222222225</v>
      </c>
      <c r="SF12">
        <v>27735</v>
      </c>
      <c r="SG12">
        <v>390252</v>
      </c>
      <c r="SH12">
        <v>20</v>
      </c>
      <c r="SI12" t="s">
        <v>567</v>
      </c>
      <c r="SJ12">
        <v>50</v>
      </c>
      <c r="SK12" s="1">
        <v>46036.370219907411</v>
      </c>
      <c r="SZ12">
        <v>0.11</v>
      </c>
      <c r="TA12">
        <v>0.93700000000000006</v>
      </c>
      <c r="TB12">
        <v>1.5800000000000002E-2</v>
      </c>
      <c r="TC12" t="s">
        <v>568</v>
      </c>
      <c r="TD12">
        <v>0.14799999999999999</v>
      </c>
      <c r="TE12">
        <v>7.1999999999999995E-2</v>
      </c>
      <c r="TF12">
        <v>7.8E-2</v>
      </c>
      <c r="TG12">
        <v>6.8000000000000005E-2</v>
      </c>
      <c r="TH12">
        <v>1.7000000000000001E-2</v>
      </c>
      <c r="TI12">
        <v>2.1999999999999999E-2</v>
      </c>
      <c r="TJ12">
        <v>6.0000000000000001E-3</v>
      </c>
      <c r="TK12">
        <v>1.4662200000000001</v>
      </c>
      <c r="TL12">
        <v>5.0000000000000001E-3</v>
      </c>
      <c r="TM12">
        <v>2.5000000000000001E-2</v>
      </c>
      <c r="TN12">
        <v>6.9999999999999999E-4</v>
      </c>
      <c r="TO12">
        <v>6.4000000000000003E-3</v>
      </c>
      <c r="TP12">
        <v>4.0000000000000001E-3</v>
      </c>
      <c r="TQ12">
        <v>1.4800000000000001E-2</v>
      </c>
      <c r="TR12">
        <v>5.0000000000000001E-4</v>
      </c>
      <c r="TS12" t="s">
        <v>576</v>
      </c>
      <c r="TU12">
        <v>0.17419999999999999</v>
      </c>
      <c r="TV12">
        <v>3.3E-3</v>
      </c>
      <c r="UD12">
        <v>0.3</v>
      </c>
      <c r="UE12">
        <v>0.31979999999999997</v>
      </c>
      <c r="UF12">
        <v>0.43</v>
      </c>
      <c r="UH12">
        <v>3.2000000000000003E-4</v>
      </c>
      <c r="UJ12">
        <v>0.24929999999999999</v>
      </c>
      <c r="UK12">
        <v>0.12</v>
      </c>
      <c r="UL12">
        <v>0.22</v>
      </c>
      <c r="UM12">
        <v>3.6400000000000002E-2</v>
      </c>
      <c r="UN12">
        <v>0.23499999999999999</v>
      </c>
      <c r="UO12">
        <v>2.5045999999999999</v>
      </c>
      <c r="UP12">
        <v>1.06</v>
      </c>
      <c r="UQ12">
        <v>0.94</v>
      </c>
      <c r="UR12" s="1">
        <v>46086.322222222225</v>
      </c>
    </row>
    <row r="13" spans="1:564" x14ac:dyDescent="0.35">
      <c r="A13">
        <v>27855</v>
      </c>
      <c r="B13">
        <v>17941</v>
      </c>
      <c r="C13">
        <v>850</v>
      </c>
      <c r="D13">
        <v>26023</v>
      </c>
      <c r="G13" t="s">
        <v>674</v>
      </c>
      <c r="H13">
        <v>500000</v>
      </c>
      <c r="I13" s="1">
        <v>46051.305601851855</v>
      </c>
      <c r="J13">
        <v>75</v>
      </c>
      <c r="K13">
        <v>301</v>
      </c>
      <c r="L13" t="s">
        <v>649</v>
      </c>
      <c r="P13">
        <v>2</v>
      </c>
      <c r="S13" s="1">
        <v>46048.642708333333</v>
      </c>
      <c r="U13">
        <v>72</v>
      </c>
      <c r="W13">
        <v>427</v>
      </c>
      <c r="X13">
        <v>495910</v>
      </c>
      <c r="Y13" s="1">
        <v>46048.989791666667</v>
      </c>
      <c r="AB13">
        <v>84277</v>
      </c>
      <c r="AC13">
        <v>79</v>
      </c>
      <c r="AD13">
        <v>529</v>
      </c>
      <c r="AE13">
        <v>177390</v>
      </c>
      <c r="AF13">
        <v>0.05</v>
      </c>
      <c r="AG13">
        <v>659</v>
      </c>
      <c r="AH13">
        <v>2811</v>
      </c>
      <c r="AI13">
        <v>0.06</v>
      </c>
      <c r="AJ13">
        <v>595</v>
      </c>
      <c r="AK13">
        <v>2811</v>
      </c>
      <c r="AL13">
        <v>410</v>
      </c>
      <c r="AM13" t="s">
        <v>675</v>
      </c>
      <c r="AO13" s="1">
        <v>46050.583298611113</v>
      </c>
      <c r="AP13">
        <v>1</v>
      </c>
      <c r="AS13" s="1">
        <v>46048.995162037034</v>
      </c>
      <c r="AT13" s="1">
        <v>46050.862349537034</v>
      </c>
      <c r="AU13">
        <v>318</v>
      </c>
      <c r="AV13">
        <v>1571</v>
      </c>
      <c r="AY13">
        <v>488986</v>
      </c>
      <c r="AZ13">
        <v>459995</v>
      </c>
      <c r="BA13">
        <v>396970</v>
      </c>
      <c r="BB13">
        <v>2791</v>
      </c>
      <c r="BC13">
        <v>2814</v>
      </c>
      <c r="BD13">
        <v>0</v>
      </c>
      <c r="BG13" s="1">
        <v>46050.862696759257</v>
      </c>
      <c r="BJ13" s="1">
        <v>46051.629305555558</v>
      </c>
      <c r="BT13" s="1">
        <v>46050.059259259258</v>
      </c>
      <c r="BV13" t="b">
        <v>0</v>
      </c>
      <c r="BY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EB13" s="1">
        <v>46051.61818287037</v>
      </c>
      <c r="EG13" s="1">
        <v>46051.629305555558</v>
      </c>
      <c r="EJ13" s="1">
        <v>46051.629745370374</v>
      </c>
      <c r="EK13">
        <v>0.04</v>
      </c>
      <c r="EL13">
        <v>843</v>
      </c>
      <c r="EM13">
        <v>2914</v>
      </c>
      <c r="EN13">
        <v>0.03</v>
      </c>
      <c r="EO13">
        <v>1068</v>
      </c>
      <c r="EP13">
        <v>3003</v>
      </c>
      <c r="EQ13">
        <v>0</v>
      </c>
      <c r="ER13">
        <v>0</v>
      </c>
      <c r="ES13">
        <v>2791</v>
      </c>
      <c r="ET13">
        <v>0.02</v>
      </c>
      <c r="EU13">
        <v>2344</v>
      </c>
      <c r="EV13">
        <v>3097</v>
      </c>
      <c r="EW13">
        <v>0</v>
      </c>
      <c r="EX13">
        <v>0</v>
      </c>
      <c r="EY13">
        <v>2827</v>
      </c>
      <c r="EZ13">
        <v>0</v>
      </c>
      <c r="FA13">
        <v>0</v>
      </c>
      <c r="FB13">
        <v>2874</v>
      </c>
      <c r="FJ13" t="s">
        <v>676</v>
      </c>
      <c r="FK13">
        <v>113</v>
      </c>
      <c r="FL13" s="1">
        <v>46051.629583333335</v>
      </c>
      <c r="FM13">
        <v>135</v>
      </c>
      <c r="FN13" t="s">
        <v>643</v>
      </c>
      <c r="FO13" t="s">
        <v>677</v>
      </c>
      <c r="FP13">
        <v>32</v>
      </c>
      <c r="FQ13" t="s">
        <v>677</v>
      </c>
      <c r="FR13" t="s">
        <v>678</v>
      </c>
      <c r="FS13" t="s">
        <v>679</v>
      </c>
      <c r="FT13" t="s">
        <v>577</v>
      </c>
      <c r="FU13" t="s">
        <v>642</v>
      </c>
      <c r="FV13" t="s">
        <v>572</v>
      </c>
      <c r="FW13" t="b">
        <v>0</v>
      </c>
      <c r="GA13" t="s">
        <v>680</v>
      </c>
      <c r="GB13">
        <v>17941</v>
      </c>
      <c r="GC13" s="1">
        <v>46050.059259259258</v>
      </c>
      <c r="GD13" t="s">
        <v>658</v>
      </c>
      <c r="GE13" t="s">
        <v>593</v>
      </c>
      <c r="GF13">
        <v>500</v>
      </c>
      <c r="GG13">
        <v>2688</v>
      </c>
      <c r="GI13" t="s">
        <v>573</v>
      </c>
      <c r="GJ13">
        <v>247.96</v>
      </c>
      <c r="GK13">
        <v>2348</v>
      </c>
      <c r="GM13" t="s">
        <v>659</v>
      </c>
      <c r="GO13">
        <v>2348</v>
      </c>
      <c r="GQ13" t="s">
        <v>659</v>
      </c>
      <c r="HI13" s="2">
        <v>46050</v>
      </c>
      <c r="HW13" t="b">
        <v>0</v>
      </c>
      <c r="IC13">
        <v>241</v>
      </c>
      <c r="IJ13">
        <v>2771</v>
      </c>
      <c r="IK13">
        <v>-2771</v>
      </c>
      <c r="IL13">
        <v>-2771</v>
      </c>
      <c r="IM13">
        <v>-2771</v>
      </c>
      <c r="IN13" t="s">
        <v>681</v>
      </c>
      <c r="IO13" t="s">
        <v>682</v>
      </c>
      <c r="IP13" t="s">
        <v>682</v>
      </c>
      <c r="IR13">
        <v>6</v>
      </c>
      <c r="IS13">
        <v>11</v>
      </c>
      <c r="IT13" t="s">
        <v>660</v>
      </c>
      <c r="IV13">
        <v>27855</v>
      </c>
      <c r="IY13">
        <v>0</v>
      </c>
      <c r="IZ13">
        <v>0</v>
      </c>
      <c r="JA13">
        <v>241</v>
      </c>
      <c r="JB13">
        <v>0</v>
      </c>
      <c r="JC13">
        <v>0</v>
      </c>
      <c r="JD13">
        <v>0</v>
      </c>
      <c r="JE13">
        <v>241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75</v>
      </c>
      <c r="JM13">
        <v>9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75</v>
      </c>
      <c r="JZ13">
        <v>9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241</v>
      </c>
      <c r="KJ13" t="s">
        <v>677</v>
      </c>
      <c r="KK13">
        <v>0.28360000000000002</v>
      </c>
      <c r="KL13">
        <v>27855</v>
      </c>
      <c r="KM13">
        <v>149300</v>
      </c>
      <c r="KN13">
        <v>26460</v>
      </c>
      <c r="KP13">
        <v>66240</v>
      </c>
      <c r="LD13">
        <v>38020</v>
      </c>
      <c r="LM13">
        <v>25740</v>
      </c>
      <c r="LV13">
        <v>63920</v>
      </c>
      <c r="MD13">
        <v>40260</v>
      </c>
      <c r="MP13">
        <v>146198</v>
      </c>
      <c r="MQ13">
        <v>30099</v>
      </c>
      <c r="MS13">
        <v>68839</v>
      </c>
      <c r="NG13">
        <v>34399</v>
      </c>
      <c r="NP13">
        <v>21499</v>
      </c>
      <c r="NY13">
        <v>64499</v>
      </c>
      <c r="OG13">
        <v>34399</v>
      </c>
      <c r="OT13">
        <v>3859</v>
      </c>
      <c r="PA13">
        <v>686</v>
      </c>
      <c r="PB13">
        <v>4006</v>
      </c>
      <c r="PC13">
        <v>319182</v>
      </c>
      <c r="PD13">
        <v>49086</v>
      </c>
      <c r="PE13">
        <v>9874</v>
      </c>
      <c r="PG13">
        <v>4</v>
      </c>
      <c r="PJ13">
        <v>7823</v>
      </c>
      <c r="PM13">
        <v>11376</v>
      </c>
      <c r="PV13">
        <v>12729</v>
      </c>
      <c r="PW13">
        <v>8184</v>
      </c>
      <c r="PX13">
        <v>1656</v>
      </c>
      <c r="QC13">
        <v>577</v>
      </c>
      <c r="QD13">
        <v>1299</v>
      </c>
      <c r="QK13">
        <v>39</v>
      </c>
      <c r="QM13">
        <v>25</v>
      </c>
      <c r="QN13">
        <v>150</v>
      </c>
      <c r="QS13">
        <v>578</v>
      </c>
      <c r="QW13">
        <v>180</v>
      </c>
      <c r="QX13">
        <v>175</v>
      </c>
      <c r="SE13" s="1">
        <v>46086.322222222225</v>
      </c>
      <c r="SF13">
        <v>27855</v>
      </c>
      <c r="SG13">
        <v>392716</v>
      </c>
      <c r="SH13">
        <v>20</v>
      </c>
      <c r="SI13" t="s">
        <v>567</v>
      </c>
      <c r="SJ13">
        <v>50</v>
      </c>
      <c r="SK13" s="1">
        <v>46050.640266203707</v>
      </c>
      <c r="SZ13">
        <v>0.11</v>
      </c>
      <c r="TA13">
        <v>1.0249999999999999</v>
      </c>
      <c r="TB13">
        <v>1.26E-2</v>
      </c>
      <c r="TC13" t="s">
        <v>568</v>
      </c>
      <c r="TD13">
        <v>0.24299999999999999</v>
      </c>
      <c r="TE13">
        <v>0.11600000000000001</v>
      </c>
      <c r="TF13">
        <v>5.6000000000000001E-2</v>
      </c>
      <c r="TG13">
        <v>0.109</v>
      </c>
      <c r="TH13">
        <v>2.1000000000000001E-2</v>
      </c>
      <c r="TI13">
        <v>3.7999999999999999E-2</v>
      </c>
      <c r="TJ13">
        <v>7.0000000000000001E-3</v>
      </c>
      <c r="TK13">
        <v>3.00787</v>
      </c>
      <c r="TL13">
        <v>3.1E-2</v>
      </c>
      <c r="TM13">
        <v>1.83E-2</v>
      </c>
      <c r="TN13" t="s">
        <v>569</v>
      </c>
      <c r="TO13">
        <v>2.3E-3</v>
      </c>
      <c r="TP13">
        <v>5.4999999999999997E-3</v>
      </c>
      <c r="TQ13">
        <v>1.2699999999999999E-2</v>
      </c>
      <c r="TR13">
        <v>4.0000000000000002E-4</v>
      </c>
      <c r="TS13" t="s">
        <v>576</v>
      </c>
      <c r="TU13">
        <v>0.18640000000000001</v>
      </c>
      <c r="TV13">
        <v>4.1000000000000003E-3</v>
      </c>
      <c r="UD13">
        <v>0.32</v>
      </c>
      <c r="UE13">
        <v>0.35799999999999998</v>
      </c>
      <c r="UF13">
        <v>0.18</v>
      </c>
      <c r="UH13">
        <v>4.8999999999999998E-4</v>
      </c>
      <c r="UJ13">
        <v>0.31219999999999998</v>
      </c>
      <c r="UK13">
        <v>0.17</v>
      </c>
      <c r="UL13">
        <v>0.28000000000000003</v>
      </c>
      <c r="UM13">
        <v>5.16E-2</v>
      </c>
      <c r="UN13">
        <v>0.30199999999999999</v>
      </c>
      <c r="UO13">
        <v>3.5329999999999999</v>
      </c>
      <c r="UP13">
        <v>1.06</v>
      </c>
      <c r="UQ13">
        <v>0.94</v>
      </c>
      <c r="UR13" s="1">
        <v>46086.322222222225</v>
      </c>
    </row>
    <row r="14" spans="1:564" x14ac:dyDescent="0.35">
      <c r="A14">
        <v>27856</v>
      </c>
      <c r="B14">
        <v>17942</v>
      </c>
      <c r="C14">
        <v>850</v>
      </c>
      <c r="D14">
        <v>26023</v>
      </c>
      <c r="G14" t="s">
        <v>674</v>
      </c>
      <c r="H14">
        <v>500000</v>
      </c>
      <c r="I14" s="1">
        <v>46051.305821759262</v>
      </c>
      <c r="J14">
        <v>75</v>
      </c>
      <c r="K14">
        <v>301</v>
      </c>
      <c r="L14" t="s">
        <v>649</v>
      </c>
      <c r="P14">
        <v>3</v>
      </c>
      <c r="S14" s="1">
        <v>46048.989791666667</v>
      </c>
      <c r="U14">
        <v>77</v>
      </c>
      <c r="W14">
        <v>32</v>
      </c>
      <c r="X14">
        <v>493749</v>
      </c>
      <c r="Y14" s="1">
        <v>46049.065868055557</v>
      </c>
      <c r="AB14">
        <v>96495</v>
      </c>
      <c r="AC14">
        <v>80</v>
      </c>
      <c r="AD14">
        <v>530</v>
      </c>
      <c r="AE14">
        <v>86180</v>
      </c>
      <c r="AF14">
        <v>0.02</v>
      </c>
      <c r="AG14">
        <v>2343</v>
      </c>
      <c r="AH14">
        <v>3097</v>
      </c>
      <c r="AI14">
        <v>0</v>
      </c>
      <c r="AJ14">
        <v>0</v>
      </c>
      <c r="AK14">
        <v>2845</v>
      </c>
      <c r="AL14">
        <v>23</v>
      </c>
      <c r="AM14" t="s">
        <v>707</v>
      </c>
      <c r="AN14" t="s">
        <v>708</v>
      </c>
      <c r="AO14" s="1">
        <v>46050.639976851853</v>
      </c>
      <c r="AP14">
        <v>1</v>
      </c>
      <c r="AQ14">
        <v>254</v>
      </c>
      <c r="AR14">
        <v>249</v>
      </c>
      <c r="AS14" s="1">
        <v>46050.522245370368</v>
      </c>
      <c r="AT14" s="1">
        <v>46050.582905092589</v>
      </c>
      <c r="AU14">
        <v>247</v>
      </c>
      <c r="AV14">
        <v>1268</v>
      </c>
      <c r="AY14">
        <v>508240</v>
      </c>
      <c r="AZ14">
        <v>493740</v>
      </c>
      <c r="BA14">
        <v>35530</v>
      </c>
      <c r="BB14">
        <v>2924</v>
      </c>
      <c r="BC14">
        <v>3009</v>
      </c>
      <c r="BD14">
        <v>0</v>
      </c>
      <c r="BF14" t="s">
        <v>709</v>
      </c>
      <c r="BG14" s="1">
        <v>46050.639456018522</v>
      </c>
      <c r="BJ14" s="1">
        <v>46051.635694444441</v>
      </c>
      <c r="BS14" t="s">
        <v>708</v>
      </c>
      <c r="BT14" s="1">
        <v>46050.478055555555</v>
      </c>
      <c r="BV14" t="b">
        <v>0</v>
      </c>
      <c r="BY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EB14" s="1">
        <v>46051.618287037039</v>
      </c>
      <c r="EG14" s="1">
        <v>46051.635694444441</v>
      </c>
      <c r="EJ14" s="1">
        <v>46051.637233796297</v>
      </c>
      <c r="EK14">
        <v>0.02</v>
      </c>
      <c r="EL14">
        <v>1987</v>
      </c>
      <c r="EM14">
        <v>3079</v>
      </c>
      <c r="EN14">
        <v>0.05</v>
      </c>
      <c r="EO14">
        <v>676</v>
      </c>
      <c r="EP14">
        <v>2917</v>
      </c>
      <c r="EQ14">
        <v>4.99</v>
      </c>
      <c r="ER14">
        <v>7</v>
      </c>
      <c r="ES14">
        <v>2924</v>
      </c>
      <c r="ET14">
        <v>0</v>
      </c>
      <c r="EU14">
        <v>0</v>
      </c>
      <c r="EV14">
        <v>2858</v>
      </c>
      <c r="EW14">
        <v>0</v>
      </c>
      <c r="EX14">
        <v>0</v>
      </c>
      <c r="EY14">
        <v>2907</v>
      </c>
      <c r="EZ14">
        <v>0</v>
      </c>
      <c r="FA14">
        <v>0</v>
      </c>
      <c r="FB14">
        <v>2928</v>
      </c>
      <c r="FJ14" t="s">
        <v>710</v>
      </c>
      <c r="FK14">
        <v>113</v>
      </c>
      <c r="FL14" s="1">
        <v>46051.637071759258</v>
      </c>
      <c r="FM14">
        <v>135</v>
      </c>
      <c r="FN14" t="s">
        <v>643</v>
      </c>
      <c r="FO14" t="s">
        <v>677</v>
      </c>
      <c r="FP14">
        <v>32</v>
      </c>
      <c r="FQ14" t="s">
        <v>677</v>
      </c>
      <c r="FR14" t="s">
        <v>678</v>
      </c>
      <c r="FS14" t="s">
        <v>679</v>
      </c>
      <c r="FT14" t="s">
        <v>641</v>
      </c>
      <c r="FU14" t="s">
        <v>577</v>
      </c>
      <c r="FV14" t="s">
        <v>572</v>
      </c>
      <c r="FW14" t="b">
        <v>0</v>
      </c>
      <c r="FZ14" t="s">
        <v>711</v>
      </c>
      <c r="GA14" t="s">
        <v>712</v>
      </c>
      <c r="GB14">
        <v>17942</v>
      </c>
      <c r="GC14" s="1">
        <v>46050.478055555555</v>
      </c>
      <c r="GD14" t="s">
        <v>658</v>
      </c>
      <c r="GE14" t="s">
        <v>593</v>
      </c>
      <c r="GF14">
        <v>109</v>
      </c>
      <c r="GG14">
        <v>87</v>
      </c>
      <c r="GI14" t="s">
        <v>573</v>
      </c>
      <c r="GJ14">
        <v>246.87</v>
      </c>
      <c r="GK14">
        <v>2348</v>
      </c>
      <c r="GM14" t="s">
        <v>659</v>
      </c>
      <c r="GO14">
        <v>2348</v>
      </c>
      <c r="GQ14" t="s">
        <v>659</v>
      </c>
      <c r="HI14" s="2">
        <v>46050</v>
      </c>
      <c r="HW14" t="b">
        <v>0</v>
      </c>
      <c r="IC14">
        <v>254</v>
      </c>
      <c r="IJ14">
        <v>2771</v>
      </c>
      <c r="IK14">
        <v>-2771</v>
      </c>
      <c r="IL14">
        <v>-2771</v>
      </c>
      <c r="IM14">
        <v>-2771</v>
      </c>
      <c r="IN14" t="s">
        <v>681</v>
      </c>
      <c r="IO14" t="s">
        <v>682</v>
      </c>
      <c r="IP14" t="s">
        <v>682</v>
      </c>
      <c r="IR14">
        <v>2</v>
      </c>
      <c r="IS14">
        <v>6</v>
      </c>
      <c r="IT14" t="s">
        <v>660</v>
      </c>
      <c r="IV14">
        <v>27856</v>
      </c>
      <c r="IY14">
        <v>0</v>
      </c>
      <c r="IZ14">
        <v>0</v>
      </c>
      <c r="JA14">
        <v>254</v>
      </c>
      <c r="JB14">
        <v>0</v>
      </c>
      <c r="JC14">
        <v>0</v>
      </c>
      <c r="JD14">
        <v>0</v>
      </c>
      <c r="JE14">
        <v>254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75</v>
      </c>
      <c r="JM14">
        <v>9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75</v>
      </c>
      <c r="JZ14">
        <v>9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254</v>
      </c>
      <c r="KJ14" t="s">
        <v>677</v>
      </c>
      <c r="KK14">
        <v>0.28360000000000002</v>
      </c>
      <c r="KL14">
        <v>27856</v>
      </c>
      <c r="KM14">
        <v>212660</v>
      </c>
      <c r="KN14">
        <v>43440</v>
      </c>
      <c r="KO14">
        <v>60</v>
      </c>
      <c r="KP14">
        <v>141760</v>
      </c>
      <c r="LD14">
        <v>50540</v>
      </c>
      <c r="LM14">
        <v>29580</v>
      </c>
      <c r="LV14">
        <v>97640</v>
      </c>
      <c r="MD14">
        <v>52780</v>
      </c>
      <c r="MP14">
        <v>214197</v>
      </c>
      <c r="MQ14">
        <v>44099</v>
      </c>
      <c r="MS14">
        <v>81899</v>
      </c>
      <c r="NG14">
        <v>50399</v>
      </c>
      <c r="NP14">
        <v>21805</v>
      </c>
      <c r="NY14">
        <v>94499</v>
      </c>
      <c r="OG14">
        <v>50399</v>
      </c>
      <c r="OT14">
        <v>3769</v>
      </c>
      <c r="PA14">
        <v>709</v>
      </c>
      <c r="PB14">
        <v>4090</v>
      </c>
      <c r="PC14">
        <v>364470</v>
      </c>
      <c r="PD14">
        <v>40932</v>
      </c>
      <c r="PE14">
        <v>9968</v>
      </c>
      <c r="PG14">
        <v>7</v>
      </c>
      <c r="PJ14">
        <v>8490</v>
      </c>
      <c r="PM14">
        <v>12805</v>
      </c>
      <c r="PV14">
        <v>9269</v>
      </c>
      <c r="PW14">
        <v>7794</v>
      </c>
      <c r="PX14">
        <v>978</v>
      </c>
      <c r="QA14">
        <v>3438</v>
      </c>
      <c r="QC14">
        <v>335</v>
      </c>
      <c r="QD14">
        <v>1500</v>
      </c>
      <c r="QE14">
        <v>949</v>
      </c>
      <c r="QK14">
        <v>26</v>
      </c>
      <c r="QM14">
        <v>12</v>
      </c>
      <c r="QS14">
        <v>903</v>
      </c>
      <c r="QW14">
        <v>155</v>
      </c>
      <c r="SE14" s="1">
        <v>46086.322222222225</v>
      </c>
      <c r="SF14">
        <v>27856</v>
      </c>
      <c r="SG14">
        <v>392709</v>
      </c>
      <c r="SH14">
        <v>20</v>
      </c>
      <c r="SI14" t="s">
        <v>567</v>
      </c>
      <c r="SJ14">
        <v>50</v>
      </c>
      <c r="SK14" s="1">
        <v>46050.545428240737</v>
      </c>
      <c r="SZ14">
        <v>0.10199999999999999</v>
      </c>
      <c r="TA14">
        <v>1.024</v>
      </c>
      <c r="TB14">
        <v>1.3299999999999999E-2</v>
      </c>
      <c r="TC14" t="s">
        <v>568</v>
      </c>
      <c r="TD14">
        <v>0.188</v>
      </c>
      <c r="TE14">
        <v>0.105</v>
      </c>
      <c r="TF14">
        <v>6.6000000000000003E-2</v>
      </c>
      <c r="TG14">
        <v>9.9000000000000005E-2</v>
      </c>
      <c r="TH14">
        <v>2.3E-2</v>
      </c>
      <c r="TI14">
        <v>0.05</v>
      </c>
      <c r="TJ14">
        <v>6.0000000000000001E-3</v>
      </c>
      <c r="TK14">
        <v>3.8372099999999998</v>
      </c>
      <c r="TL14">
        <v>2.7E-2</v>
      </c>
      <c r="TM14">
        <v>1.7399999999999999E-2</v>
      </c>
      <c r="TN14" t="s">
        <v>569</v>
      </c>
      <c r="TO14">
        <v>1.4E-3</v>
      </c>
      <c r="TP14">
        <v>4.1000000000000003E-3</v>
      </c>
      <c r="TQ14">
        <v>1.29E-2</v>
      </c>
      <c r="TR14">
        <v>5.0000000000000001E-4</v>
      </c>
      <c r="TS14" t="s">
        <v>576</v>
      </c>
      <c r="TU14">
        <v>0.17649999999999999</v>
      </c>
      <c r="TV14">
        <v>3.8E-3</v>
      </c>
      <c r="UD14">
        <v>0.31</v>
      </c>
      <c r="UE14">
        <v>0.34089999999999998</v>
      </c>
      <c r="UF14">
        <v>0.11</v>
      </c>
      <c r="UH14">
        <v>6.4000000000000005E-4</v>
      </c>
      <c r="UJ14">
        <v>0.30199999999999999</v>
      </c>
      <c r="UK14">
        <v>0.16</v>
      </c>
      <c r="UL14">
        <v>0.27</v>
      </c>
      <c r="UM14">
        <v>4.58E-2</v>
      </c>
      <c r="UN14">
        <v>0.29299999999999998</v>
      </c>
      <c r="UO14">
        <v>3.2484000000000002</v>
      </c>
      <c r="UP14">
        <v>1.06</v>
      </c>
      <c r="UQ14">
        <v>0.94</v>
      </c>
      <c r="UR14" s="1">
        <v>46086.322222222225</v>
      </c>
    </row>
    <row r="15" spans="1:564" x14ac:dyDescent="0.35">
      <c r="A15">
        <v>27857</v>
      </c>
      <c r="B15">
        <v>17943</v>
      </c>
      <c r="C15">
        <v>850</v>
      </c>
      <c r="D15">
        <v>26023</v>
      </c>
      <c r="G15" t="s">
        <v>674</v>
      </c>
      <c r="H15">
        <v>500000</v>
      </c>
      <c r="I15" s="1">
        <v>46051.393113425926</v>
      </c>
      <c r="J15">
        <v>75</v>
      </c>
      <c r="K15">
        <v>301</v>
      </c>
      <c r="L15" t="s">
        <v>649</v>
      </c>
      <c r="P15">
        <v>4</v>
      </c>
      <c r="S15" s="1">
        <v>46049.065868055557</v>
      </c>
      <c r="U15">
        <v>80</v>
      </c>
      <c r="W15">
        <v>92</v>
      </c>
      <c r="X15">
        <v>495910</v>
      </c>
      <c r="Y15" s="1">
        <v>46049.186307870368</v>
      </c>
      <c r="AB15">
        <v>95124</v>
      </c>
      <c r="AC15">
        <v>81</v>
      </c>
      <c r="AD15">
        <v>531</v>
      </c>
      <c r="AE15">
        <v>125574</v>
      </c>
      <c r="AF15">
        <v>0.02</v>
      </c>
      <c r="AG15">
        <v>1430</v>
      </c>
      <c r="AH15">
        <v>2782</v>
      </c>
      <c r="AI15">
        <v>0.02</v>
      </c>
      <c r="AJ15">
        <v>1572</v>
      </c>
      <c r="AK15">
        <v>2952</v>
      </c>
      <c r="AL15">
        <v>82</v>
      </c>
      <c r="AM15" t="s">
        <v>716</v>
      </c>
      <c r="AO15" s="1">
        <v>46053.378692129627</v>
      </c>
      <c r="AP15">
        <v>2</v>
      </c>
      <c r="AQ15">
        <v>69</v>
      </c>
      <c r="AR15">
        <v>249</v>
      </c>
      <c r="AS15" s="1">
        <v>46049.204756944448</v>
      </c>
      <c r="AT15" s="1">
        <v>46053.378101851849</v>
      </c>
      <c r="AU15">
        <v>495</v>
      </c>
      <c r="AV15">
        <v>5678</v>
      </c>
      <c r="AY15">
        <v>473799</v>
      </c>
      <c r="AZ15">
        <v>283988</v>
      </c>
      <c r="BA15">
        <v>419490</v>
      </c>
      <c r="BB15">
        <v>2811</v>
      </c>
      <c r="BC15">
        <v>2961</v>
      </c>
      <c r="BD15">
        <v>0</v>
      </c>
      <c r="BF15" t="s">
        <v>614</v>
      </c>
      <c r="BG15" s="1">
        <v>46053.378819444442</v>
      </c>
      <c r="BJ15" s="1">
        <v>46051.636030092595</v>
      </c>
      <c r="BT15" s="1">
        <v>46050.478055555555</v>
      </c>
      <c r="BV15" t="b">
        <v>0</v>
      </c>
      <c r="BY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EB15" s="1">
        <v>46053.378692129627</v>
      </c>
      <c r="EG15" s="1">
        <v>46051.636030092595</v>
      </c>
      <c r="EJ15" s="1">
        <v>46051.637974537036</v>
      </c>
      <c r="EK15">
        <v>0</v>
      </c>
      <c r="EL15">
        <v>1570.16</v>
      </c>
      <c r="EM15">
        <v>32</v>
      </c>
      <c r="EN15">
        <v>0.08</v>
      </c>
      <c r="EO15">
        <v>431</v>
      </c>
      <c r="EP15">
        <v>2815</v>
      </c>
      <c r="EQ15">
        <v>0</v>
      </c>
      <c r="ER15">
        <v>0</v>
      </c>
      <c r="ES15">
        <v>2811</v>
      </c>
      <c r="ET15">
        <v>0</v>
      </c>
      <c r="EU15">
        <v>0</v>
      </c>
      <c r="EV15">
        <v>2850</v>
      </c>
      <c r="EW15">
        <v>0</v>
      </c>
      <c r="EX15">
        <v>0</v>
      </c>
      <c r="EY15">
        <v>2895</v>
      </c>
      <c r="EZ15">
        <v>4.3600000000000003</v>
      </c>
      <c r="FA15">
        <v>8</v>
      </c>
      <c r="FB15">
        <v>2922</v>
      </c>
      <c r="FJ15" t="s">
        <v>717</v>
      </c>
      <c r="FK15">
        <v>1</v>
      </c>
      <c r="FL15" s="1">
        <v>46053.378692129627</v>
      </c>
      <c r="FM15">
        <v>135</v>
      </c>
      <c r="FN15" t="s">
        <v>643</v>
      </c>
      <c r="FO15" t="s">
        <v>677</v>
      </c>
      <c r="FP15">
        <v>32</v>
      </c>
      <c r="FQ15" t="s">
        <v>677</v>
      </c>
      <c r="FR15" t="s">
        <v>678</v>
      </c>
      <c r="FS15" t="s">
        <v>679</v>
      </c>
      <c r="FT15" t="s">
        <v>564</v>
      </c>
      <c r="FU15" t="s">
        <v>615</v>
      </c>
      <c r="FV15" t="s">
        <v>572</v>
      </c>
      <c r="FW15" t="b">
        <v>0</v>
      </c>
      <c r="FZ15" t="s">
        <v>718</v>
      </c>
      <c r="GA15" t="s">
        <v>719</v>
      </c>
      <c r="GB15">
        <v>17943</v>
      </c>
      <c r="GC15" s="1">
        <v>46050.478055555555</v>
      </c>
      <c r="GD15" t="s">
        <v>658</v>
      </c>
      <c r="GE15" t="s">
        <v>593</v>
      </c>
      <c r="GF15">
        <v>174</v>
      </c>
      <c r="GG15">
        <v>6010</v>
      </c>
      <c r="GI15" t="s">
        <v>565</v>
      </c>
      <c r="GJ15">
        <v>247.96</v>
      </c>
      <c r="GK15">
        <v>2348</v>
      </c>
      <c r="GM15" t="s">
        <v>659</v>
      </c>
      <c r="GO15">
        <v>2348</v>
      </c>
      <c r="GQ15" t="s">
        <v>659</v>
      </c>
      <c r="HI15" s="2">
        <v>46050</v>
      </c>
      <c r="HW15" t="b">
        <v>0</v>
      </c>
      <c r="IC15">
        <v>236</v>
      </c>
      <c r="IJ15">
        <v>2771</v>
      </c>
      <c r="IK15">
        <v>-2771</v>
      </c>
      <c r="IL15">
        <v>-2771</v>
      </c>
      <c r="IM15">
        <v>-2771</v>
      </c>
      <c r="IN15" t="s">
        <v>681</v>
      </c>
      <c r="IO15" t="s">
        <v>682</v>
      </c>
      <c r="IP15" t="s">
        <v>682</v>
      </c>
      <c r="IR15">
        <v>7</v>
      </c>
      <c r="IS15">
        <v>8</v>
      </c>
      <c r="IT15" t="s">
        <v>660</v>
      </c>
      <c r="IV15">
        <v>27857</v>
      </c>
      <c r="IY15">
        <v>0</v>
      </c>
      <c r="IZ15">
        <v>0</v>
      </c>
      <c r="JA15">
        <v>236</v>
      </c>
      <c r="JB15">
        <v>0</v>
      </c>
      <c r="JC15">
        <v>0</v>
      </c>
      <c r="JD15">
        <v>0</v>
      </c>
      <c r="JE15">
        <v>236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75</v>
      </c>
      <c r="JM15">
        <v>9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75</v>
      </c>
      <c r="JZ15">
        <v>9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236</v>
      </c>
      <c r="KJ15" t="s">
        <v>677</v>
      </c>
      <c r="KK15">
        <v>0.28360000000000002</v>
      </c>
      <c r="KL15">
        <v>27857</v>
      </c>
      <c r="KM15">
        <v>197700</v>
      </c>
      <c r="KN15">
        <v>42040</v>
      </c>
      <c r="KP15">
        <v>43660</v>
      </c>
      <c r="LD15">
        <v>44320</v>
      </c>
      <c r="LM15">
        <v>25780</v>
      </c>
      <c r="LV15">
        <v>88100</v>
      </c>
      <c r="MD15">
        <v>45000</v>
      </c>
      <c r="MP15">
        <v>156398</v>
      </c>
      <c r="MQ15">
        <v>32199</v>
      </c>
      <c r="MS15">
        <v>106917</v>
      </c>
      <c r="NG15">
        <v>36799</v>
      </c>
      <c r="NP15">
        <v>22999</v>
      </c>
      <c r="NY15">
        <v>68999</v>
      </c>
      <c r="OG15">
        <v>36799</v>
      </c>
      <c r="OT15">
        <v>1005</v>
      </c>
      <c r="PA15">
        <v>423</v>
      </c>
      <c r="PB15">
        <v>2129</v>
      </c>
      <c r="PC15">
        <v>338650</v>
      </c>
      <c r="PD15">
        <v>40855</v>
      </c>
      <c r="PE15">
        <v>8101</v>
      </c>
      <c r="PG15">
        <v>8</v>
      </c>
      <c r="PJ15">
        <v>8981</v>
      </c>
      <c r="PM15">
        <v>11462</v>
      </c>
      <c r="PV15">
        <v>34983</v>
      </c>
      <c r="PW15">
        <v>14057</v>
      </c>
      <c r="PX15">
        <v>2147</v>
      </c>
      <c r="QC15">
        <v>398</v>
      </c>
      <c r="QD15">
        <v>849</v>
      </c>
      <c r="QE15">
        <v>100</v>
      </c>
      <c r="QK15">
        <v>88</v>
      </c>
      <c r="QM15">
        <v>24</v>
      </c>
      <c r="QN15">
        <v>125</v>
      </c>
      <c r="QS15">
        <v>497</v>
      </c>
      <c r="QW15">
        <v>80</v>
      </c>
      <c r="QX15">
        <v>135</v>
      </c>
      <c r="SE15" s="1">
        <v>46086.322222222225</v>
      </c>
      <c r="SF15">
        <v>27857</v>
      </c>
      <c r="SG15">
        <v>392735</v>
      </c>
      <c r="SH15">
        <v>20</v>
      </c>
      <c r="SI15" t="s">
        <v>567</v>
      </c>
      <c r="SJ15">
        <v>50</v>
      </c>
      <c r="SK15" s="1">
        <v>46051.212291666663</v>
      </c>
      <c r="SZ15">
        <v>9.1999999999999998E-2</v>
      </c>
      <c r="TA15">
        <v>1.0109999999999999</v>
      </c>
      <c r="TB15">
        <v>1.38E-2</v>
      </c>
      <c r="TC15" t="s">
        <v>568</v>
      </c>
      <c r="TD15">
        <v>7.9000000000000001E-2</v>
      </c>
      <c r="TE15">
        <v>0.121</v>
      </c>
      <c r="TF15">
        <v>7.3999999999999996E-2</v>
      </c>
      <c r="TG15">
        <v>0.10100000000000001</v>
      </c>
      <c r="TH15">
        <v>0.02</v>
      </c>
      <c r="TI15">
        <v>2.5999999999999999E-2</v>
      </c>
      <c r="TJ15">
        <v>8.0000000000000002E-3</v>
      </c>
      <c r="TK15">
        <v>2.8043499999999999</v>
      </c>
      <c r="TL15">
        <v>2.7E-2</v>
      </c>
      <c r="TM15">
        <v>1.7399999999999999E-2</v>
      </c>
      <c r="TN15" t="s">
        <v>569</v>
      </c>
      <c r="TO15">
        <v>1.4E-3</v>
      </c>
      <c r="TP15">
        <v>5.1000000000000004E-3</v>
      </c>
      <c r="TQ15">
        <v>9.1999999999999998E-3</v>
      </c>
      <c r="TR15">
        <v>4.0000000000000002E-4</v>
      </c>
      <c r="TS15" t="s">
        <v>576</v>
      </c>
      <c r="TU15">
        <v>0.16259999999999999</v>
      </c>
      <c r="TV15">
        <v>4.1999999999999997E-3</v>
      </c>
      <c r="UD15">
        <v>0.3</v>
      </c>
      <c r="UE15">
        <v>0.31259999999999999</v>
      </c>
      <c r="UF15">
        <v>0.15</v>
      </c>
      <c r="UH15">
        <v>2.4000000000000001E-4</v>
      </c>
      <c r="UJ15">
        <v>0.3261</v>
      </c>
      <c r="UK15">
        <v>0.18</v>
      </c>
      <c r="UL15">
        <v>0.3</v>
      </c>
      <c r="UM15">
        <v>4.58E-2</v>
      </c>
      <c r="UN15">
        <v>0.316</v>
      </c>
      <c r="UO15">
        <v>3.3934000000000002</v>
      </c>
      <c r="UP15">
        <v>1.2</v>
      </c>
      <c r="UQ15">
        <v>0.83</v>
      </c>
      <c r="UR15" s="1">
        <v>46086.322222222225</v>
      </c>
    </row>
    <row r="16" spans="1:564" x14ac:dyDescent="0.35">
      <c r="A16">
        <v>28163</v>
      </c>
      <c r="B16">
        <v>18217</v>
      </c>
      <c r="C16">
        <v>850</v>
      </c>
      <c r="D16">
        <v>26079</v>
      </c>
      <c r="G16" t="s">
        <v>598</v>
      </c>
      <c r="H16">
        <v>500000</v>
      </c>
      <c r="I16" s="1">
        <v>46085.962094907409</v>
      </c>
      <c r="L16" t="s">
        <v>671</v>
      </c>
      <c r="M16">
        <v>74.8</v>
      </c>
      <c r="N16">
        <v>330</v>
      </c>
      <c r="O16" t="s">
        <v>672</v>
      </c>
      <c r="P16">
        <v>3</v>
      </c>
      <c r="S16" s="1">
        <v>46083.829780092594</v>
      </c>
      <c r="Y16" s="1">
        <v>46084.232754629629</v>
      </c>
      <c r="AO16" s="1">
        <v>46084.233032407406</v>
      </c>
      <c r="AP16">
        <v>1</v>
      </c>
      <c r="AS16" s="1">
        <v>46084.7971875</v>
      </c>
      <c r="AT16" s="1">
        <v>46084.797210648147</v>
      </c>
      <c r="BJ16" s="1">
        <v>46085.962280092594</v>
      </c>
      <c r="BS16" t="s">
        <v>713</v>
      </c>
      <c r="BT16" s="1">
        <v>46081.486759259256</v>
      </c>
      <c r="BU16" s="1">
        <v>46081.767858796295</v>
      </c>
      <c r="BV16" t="b">
        <v>0</v>
      </c>
      <c r="BY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EB16" s="1">
        <v>46097.71980324074</v>
      </c>
      <c r="EG16" s="1">
        <v>46085.962280092594</v>
      </c>
      <c r="EJ16" s="1">
        <v>46085.96298611111</v>
      </c>
      <c r="FJ16" t="s">
        <v>714</v>
      </c>
      <c r="FK16">
        <v>113</v>
      </c>
      <c r="FL16" s="1">
        <v>46097.71980324074</v>
      </c>
      <c r="FM16">
        <v>158</v>
      </c>
      <c r="FN16" t="s">
        <v>600</v>
      </c>
      <c r="FO16" t="s">
        <v>600</v>
      </c>
      <c r="FP16">
        <v>158</v>
      </c>
      <c r="FQ16" t="s">
        <v>600</v>
      </c>
      <c r="FR16" t="s">
        <v>601</v>
      </c>
      <c r="FS16" t="s">
        <v>602</v>
      </c>
      <c r="FV16" t="s">
        <v>572</v>
      </c>
      <c r="FW16" t="b">
        <v>0</v>
      </c>
      <c r="GA16" t="s">
        <v>715</v>
      </c>
      <c r="GB16">
        <v>18217</v>
      </c>
      <c r="GC16" s="1">
        <v>46081.486759259256</v>
      </c>
      <c r="GD16" t="s">
        <v>593</v>
      </c>
      <c r="GE16" t="s">
        <v>594</v>
      </c>
      <c r="GF16">
        <v>581</v>
      </c>
      <c r="GG16">
        <v>0</v>
      </c>
      <c r="GI16" t="s">
        <v>573</v>
      </c>
      <c r="GL16">
        <v>63</v>
      </c>
      <c r="GN16" t="s">
        <v>603</v>
      </c>
      <c r="GP16">
        <v>63</v>
      </c>
      <c r="GR16" t="s">
        <v>603</v>
      </c>
      <c r="HI16" s="2">
        <v>46081</v>
      </c>
      <c r="HR16" t="b">
        <v>1</v>
      </c>
      <c r="HW16" t="b">
        <v>0</v>
      </c>
      <c r="IC16">
        <v>250</v>
      </c>
      <c r="IJ16">
        <v>2756</v>
      </c>
      <c r="IK16">
        <v>-2756</v>
      </c>
      <c r="IL16">
        <v>-2756</v>
      </c>
      <c r="IM16">
        <v>-2756</v>
      </c>
      <c r="IO16" t="s">
        <v>673</v>
      </c>
      <c r="IP16" t="s">
        <v>673</v>
      </c>
      <c r="IQ16" t="s">
        <v>566</v>
      </c>
      <c r="IV16">
        <v>28163</v>
      </c>
      <c r="IY16">
        <v>0</v>
      </c>
      <c r="IZ16">
        <v>0</v>
      </c>
      <c r="JA16">
        <v>250</v>
      </c>
      <c r="JB16">
        <v>0</v>
      </c>
      <c r="JC16">
        <v>0</v>
      </c>
      <c r="JD16">
        <v>0</v>
      </c>
      <c r="JE16">
        <v>250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74.8</v>
      </c>
      <c r="JM16">
        <v>9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74.8</v>
      </c>
      <c r="JZ16">
        <v>9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250</v>
      </c>
      <c r="KJ16" t="s">
        <v>600</v>
      </c>
      <c r="KK16">
        <v>0.28360000000000002</v>
      </c>
      <c r="KL16">
        <v>28163</v>
      </c>
      <c r="KM16">
        <v>206220</v>
      </c>
      <c r="KN16">
        <v>19200</v>
      </c>
      <c r="KP16">
        <v>45360</v>
      </c>
      <c r="KX16">
        <v>17160</v>
      </c>
      <c r="LD16">
        <v>37800</v>
      </c>
      <c r="SE16" s="1">
        <v>46086.322222222225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2C12-B210-42C5-9578-227B2CF8308C}">
  <dimension ref="A1:F34"/>
  <sheetViews>
    <sheetView workbookViewId="0">
      <selection activeCell="I11" sqref="I11"/>
    </sheetView>
  </sheetViews>
  <sheetFormatPr defaultRowHeight="14.5" x14ac:dyDescent="0.35"/>
  <cols>
    <col min="3" max="3" width="18.54296875" bestFit="1" customWidth="1"/>
    <col min="4" max="4" width="10.08984375" bestFit="1" customWidth="1"/>
    <col min="5" max="5" width="11.81640625" bestFit="1" customWidth="1"/>
  </cols>
  <sheetData>
    <row r="1" spans="1:6" x14ac:dyDescent="0.35">
      <c r="A1" t="s">
        <v>0</v>
      </c>
      <c r="B1" t="s">
        <v>256</v>
      </c>
      <c r="C1" t="s">
        <v>257</v>
      </c>
      <c r="D1" t="s">
        <v>216</v>
      </c>
      <c r="E1" t="s">
        <v>744</v>
      </c>
      <c r="F1" t="s">
        <v>743</v>
      </c>
    </row>
    <row r="2" spans="1:6" x14ac:dyDescent="0.35">
      <c r="A2" s="3">
        <v>26553</v>
      </c>
      <c r="B2">
        <v>26553</v>
      </c>
      <c r="C2">
        <v>26553</v>
      </c>
      <c r="D2" s="2">
        <v>46072</v>
      </c>
      <c r="E2" t="str">
        <f t="shared" ref="E2:E10" si="0">TEXT(B2,"0")&amp;"_"&amp;IF(ISBLANK(B2),"",TEXT(C2,"0"))</f>
        <v>26553_26553</v>
      </c>
      <c r="F2">
        <v>1</v>
      </c>
    </row>
    <row r="3" spans="1:6" x14ac:dyDescent="0.35">
      <c r="A3" s="3">
        <v>26844</v>
      </c>
      <c r="B3">
        <v>26844</v>
      </c>
      <c r="C3">
        <v>28092</v>
      </c>
      <c r="D3" s="2">
        <v>46075</v>
      </c>
      <c r="E3" t="str">
        <f t="shared" si="0"/>
        <v>26844_28092</v>
      </c>
      <c r="F3">
        <f>1+F2</f>
        <v>2</v>
      </c>
    </row>
    <row r="4" spans="1:6" x14ac:dyDescent="0.35">
      <c r="A4" s="3">
        <v>26846</v>
      </c>
      <c r="B4">
        <v>26846</v>
      </c>
      <c r="C4">
        <v>28114</v>
      </c>
      <c r="D4" s="2">
        <v>46078</v>
      </c>
      <c r="E4" t="str">
        <f t="shared" si="0"/>
        <v>26846_28114</v>
      </c>
      <c r="F4">
        <f t="shared" ref="F4" si="1">1+F3</f>
        <v>3</v>
      </c>
    </row>
    <row r="5" spans="1:6" x14ac:dyDescent="0.35">
      <c r="A5" s="3">
        <v>26849</v>
      </c>
      <c r="B5">
        <v>26849</v>
      </c>
      <c r="C5">
        <v>28310</v>
      </c>
      <c r="D5" s="2">
        <v>46095</v>
      </c>
      <c r="E5" t="str">
        <f t="shared" si="0"/>
        <v>26849_28310</v>
      </c>
      <c r="F5">
        <v>4</v>
      </c>
    </row>
    <row r="6" spans="1:6" x14ac:dyDescent="0.35">
      <c r="A6" s="3">
        <v>26851</v>
      </c>
      <c r="B6">
        <v>26851</v>
      </c>
      <c r="C6">
        <v>26852</v>
      </c>
      <c r="D6" s="2">
        <v>46094</v>
      </c>
      <c r="E6" t="str">
        <f t="shared" si="0"/>
        <v>26851_26852</v>
      </c>
      <c r="F6">
        <f>1+F5</f>
        <v>5</v>
      </c>
    </row>
    <row r="7" spans="1:6" x14ac:dyDescent="0.35">
      <c r="A7" s="3">
        <v>26852</v>
      </c>
      <c r="B7">
        <v>26851</v>
      </c>
      <c r="C7">
        <v>26852</v>
      </c>
      <c r="D7" s="2">
        <v>46094</v>
      </c>
      <c r="E7" t="str">
        <f t="shared" si="0"/>
        <v>26851_26852</v>
      </c>
      <c r="F7">
        <f t="shared" ref="F7:F14" si="2">1+F6</f>
        <v>6</v>
      </c>
    </row>
    <row r="8" spans="1:6" x14ac:dyDescent="0.35">
      <c r="A8" s="3">
        <v>26850</v>
      </c>
      <c r="B8">
        <v>26853</v>
      </c>
      <c r="C8">
        <v>26855</v>
      </c>
      <c r="D8" s="2">
        <v>46095</v>
      </c>
      <c r="E8" t="str">
        <f t="shared" si="0"/>
        <v>26853_26855</v>
      </c>
      <c r="F8">
        <f t="shared" si="2"/>
        <v>7</v>
      </c>
    </row>
    <row r="9" spans="1:6" x14ac:dyDescent="0.35">
      <c r="A9" s="3">
        <v>26554</v>
      </c>
      <c r="B9">
        <v>27871</v>
      </c>
      <c r="C9">
        <v>27890</v>
      </c>
      <c r="D9" s="2">
        <v>46058</v>
      </c>
      <c r="E9" t="str">
        <f t="shared" si="0"/>
        <v>27871_27890</v>
      </c>
      <c r="F9">
        <f t="shared" si="2"/>
        <v>8</v>
      </c>
    </row>
    <row r="10" spans="1:6" x14ac:dyDescent="0.35">
      <c r="A10" s="3">
        <v>26845</v>
      </c>
      <c r="B10">
        <v>28054</v>
      </c>
      <c r="C10">
        <v>28053</v>
      </c>
      <c r="D10" s="2">
        <v>46073</v>
      </c>
      <c r="E10" t="str">
        <f t="shared" si="0"/>
        <v>28054_28053</v>
      </c>
      <c r="F10">
        <f t="shared" si="2"/>
        <v>9</v>
      </c>
    </row>
    <row r="11" spans="1:6" x14ac:dyDescent="0.35">
      <c r="A11" s="5">
        <v>27735</v>
      </c>
      <c r="D11" s="2">
        <v>46037</v>
      </c>
      <c r="F11">
        <f t="shared" si="2"/>
        <v>10</v>
      </c>
    </row>
    <row r="12" spans="1:6" x14ac:dyDescent="0.35">
      <c r="A12" s="5">
        <v>27855</v>
      </c>
      <c r="D12" s="2">
        <v>46050</v>
      </c>
      <c r="F12">
        <f t="shared" si="2"/>
        <v>11</v>
      </c>
    </row>
    <row r="13" spans="1:6" x14ac:dyDescent="0.35">
      <c r="A13" s="5">
        <v>27856</v>
      </c>
      <c r="D13" s="2">
        <v>46050</v>
      </c>
      <c r="F13">
        <f t="shared" si="2"/>
        <v>12</v>
      </c>
    </row>
    <row r="14" spans="1:6" x14ac:dyDescent="0.35">
      <c r="A14" s="5">
        <v>27857</v>
      </c>
      <c r="D14" s="2">
        <v>46050</v>
      </c>
      <c r="F14">
        <f t="shared" si="2"/>
        <v>13</v>
      </c>
    </row>
    <row r="19" spans="1:6" x14ac:dyDescent="0.35">
      <c r="A19" t="s">
        <v>0</v>
      </c>
      <c r="B19" t="s">
        <v>256</v>
      </c>
      <c r="C19" t="s">
        <v>257</v>
      </c>
      <c r="D19" t="s">
        <v>216</v>
      </c>
      <c r="E19" t="s">
        <v>744</v>
      </c>
      <c r="F19" t="s">
        <v>743</v>
      </c>
    </row>
    <row r="20" spans="1:6" x14ac:dyDescent="0.35">
      <c r="A20" s="5">
        <v>27735</v>
      </c>
      <c r="D20" s="2">
        <v>46037</v>
      </c>
      <c r="E20">
        <v>0</v>
      </c>
      <c r="F20">
        <v>1</v>
      </c>
    </row>
    <row r="21" spans="1:6" x14ac:dyDescent="0.35">
      <c r="A21" s="5">
        <v>27855</v>
      </c>
      <c r="D21" s="2">
        <v>46050</v>
      </c>
      <c r="E21">
        <v>0</v>
      </c>
      <c r="F21">
        <f>1+F20</f>
        <v>2</v>
      </c>
    </row>
    <row r="22" spans="1:6" x14ac:dyDescent="0.35">
      <c r="A22" s="5">
        <v>27856</v>
      </c>
      <c r="D22" s="2">
        <v>46050</v>
      </c>
      <c r="E22">
        <v>0</v>
      </c>
      <c r="F22">
        <f t="shared" ref="F22:F34" si="3">1+F21</f>
        <v>3</v>
      </c>
    </row>
    <row r="23" spans="1:6" x14ac:dyDescent="0.35">
      <c r="A23" s="5">
        <v>27857</v>
      </c>
      <c r="D23" s="2">
        <v>46050</v>
      </c>
      <c r="E23">
        <v>0</v>
      </c>
      <c r="F23">
        <f t="shared" si="3"/>
        <v>4</v>
      </c>
    </row>
    <row r="24" spans="1:6" x14ac:dyDescent="0.35">
      <c r="A24" s="4">
        <v>28163</v>
      </c>
      <c r="D24" s="2">
        <v>46081</v>
      </c>
      <c r="E24">
        <v>0</v>
      </c>
      <c r="F24">
        <f t="shared" si="3"/>
        <v>5</v>
      </c>
    </row>
    <row r="25" spans="1:6" x14ac:dyDescent="0.35">
      <c r="A25" s="3">
        <v>26553</v>
      </c>
      <c r="B25">
        <v>26553</v>
      </c>
      <c r="C25">
        <v>26553</v>
      </c>
      <c r="D25" s="2">
        <v>46072</v>
      </c>
      <c r="E25" t="str">
        <f t="shared" ref="E25:E34" si="4">TEXT(B25,"0")&amp;"_"&amp;IF(ISBLANK(B25),"",TEXT(C25,"0"))</f>
        <v>26553_26553</v>
      </c>
      <c r="F25">
        <f t="shared" si="3"/>
        <v>6</v>
      </c>
    </row>
    <row r="26" spans="1:6" x14ac:dyDescent="0.35">
      <c r="A26" s="3">
        <v>26844</v>
      </c>
      <c r="B26">
        <v>26844</v>
      </c>
      <c r="C26">
        <v>28092</v>
      </c>
      <c r="D26" s="2">
        <v>46075</v>
      </c>
      <c r="E26" t="str">
        <f t="shared" si="4"/>
        <v>26844_28092</v>
      </c>
      <c r="F26">
        <f t="shared" si="3"/>
        <v>7</v>
      </c>
    </row>
    <row r="27" spans="1:6" x14ac:dyDescent="0.35">
      <c r="A27" s="3">
        <v>26846</v>
      </c>
      <c r="B27">
        <v>26846</v>
      </c>
      <c r="C27">
        <v>28114</v>
      </c>
      <c r="D27" s="2">
        <v>46078</v>
      </c>
      <c r="E27" t="str">
        <f t="shared" si="4"/>
        <v>26846_28114</v>
      </c>
      <c r="F27">
        <f t="shared" si="3"/>
        <v>8</v>
      </c>
    </row>
    <row r="28" spans="1:6" x14ac:dyDescent="0.35">
      <c r="A28" s="3">
        <v>26849</v>
      </c>
      <c r="B28">
        <v>26849</v>
      </c>
      <c r="C28">
        <v>28310</v>
      </c>
      <c r="D28" s="2">
        <v>46095</v>
      </c>
      <c r="E28" t="str">
        <f t="shared" si="4"/>
        <v>26849_28310</v>
      </c>
      <c r="F28">
        <f t="shared" si="3"/>
        <v>9</v>
      </c>
    </row>
    <row r="29" spans="1:6" x14ac:dyDescent="0.35">
      <c r="A29" s="3">
        <v>26851</v>
      </c>
      <c r="B29">
        <v>26851</v>
      </c>
      <c r="C29">
        <v>26852</v>
      </c>
      <c r="D29" s="2">
        <v>46094</v>
      </c>
      <c r="E29" t="str">
        <f t="shared" si="4"/>
        <v>26851_26852</v>
      </c>
      <c r="F29">
        <f t="shared" si="3"/>
        <v>10</v>
      </c>
    </row>
    <row r="30" spans="1:6" x14ac:dyDescent="0.35">
      <c r="A30" s="3">
        <v>26852</v>
      </c>
      <c r="B30">
        <v>26851</v>
      </c>
      <c r="C30">
        <v>26852</v>
      </c>
      <c r="D30" s="2">
        <v>46094</v>
      </c>
      <c r="E30" t="str">
        <f t="shared" si="4"/>
        <v>26851_26852</v>
      </c>
      <c r="F30">
        <f t="shared" si="3"/>
        <v>11</v>
      </c>
    </row>
    <row r="31" spans="1:6" x14ac:dyDescent="0.35">
      <c r="A31" s="3">
        <v>26850</v>
      </c>
      <c r="B31">
        <v>26853</v>
      </c>
      <c r="C31">
        <v>26855</v>
      </c>
      <c r="D31" s="2">
        <v>46095</v>
      </c>
      <c r="E31" t="str">
        <f t="shared" si="4"/>
        <v>26853_26855</v>
      </c>
      <c r="F31">
        <f t="shared" si="3"/>
        <v>12</v>
      </c>
    </row>
    <row r="32" spans="1:6" x14ac:dyDescent="0.35">
      <c r="A32" s="3">
        <v>26554</v>
      </c>
      <c r="B32">
        <v>27871</v>
      </c>
      <c r="C32">
        <v>27890</v>
      </c>
      <c r="D32" s="2">
        <v>46058</v>
      </c>
      <c r="E32" t="str">
        <f t="shared" si="4"/>
        <v>27871_27890</v>
      </c>
      <c r="F32">
        <f t="shared" si="3"/>
        <v>13</v>
      </c>
    </row>
    <row r="33" spans="1:6" x14ac:dyDescent="0.35">
      <c r="A33" s="3">
        <v>26845</v>
      </c>
      <c r="B33">
        <v>28054</v>
      </c>
      <c r="C33">
        <v>28053</v>
      </c>
      <c r="D33" s="2">
        <v>46073</v>
      </c>
      <c r="E33" t="str">
        <f t="shared" si="4"/>
        <v>28054_28053</v>
      </c>
      <c r="F33">
        <f t="shared" si="3"/>
        <v>14</v>
      </c>
    </row>
    <row r="34" spans="1:6" x14ac:dyDescent="0.35">
      <c r="A34" s="4">
        <v>26848</v>
      </c>
      <c r="B34">
        <v>28229</v>
      </c>
      <c r="C34">
        <v>28239</v>
      </c>
      <c r="D34" s="2">
        <v>46089</v>
      </c>
      <c r="E34" t="str">
        <f t="shared" si="4"/>
        <v>28229_28239</v>
      </c>
      <c r="F34">
        <f t="shared" si="3"/>
        <v>15</v>
      </c>
    </row>
  </sheetData>
  <sortState xmlns:xlrd2="http://schemas.microsoft.com/office/spreadsheetml/2017/richdata2" ref="A2:E14">
    <sortCondition ref="E2:E14"/>
    <sortCondition ref="D2:D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HeatQuery_All_03312026063851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pradeep.agarwal</dc:creator>
  <cp:lastModifiedBy>Nikhil Lakshman</cp:lastModifiedBy>
  <dcterms:created xsi:type="dcterms:W3CDTF">2026-03-31T10:40:46Z</dcterms:created>
  <dcterms:modified xsi:type="dcterms:W3CDTF">2026-06-11T05:26:58Z</dcterms:modified>
</cp:coreProperties>
</file>